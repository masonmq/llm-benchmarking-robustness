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wsl.localhost\Ubuntu-22.04\home\mason\mygpu\llm-robustness\llm-benchmarking-robustness\robustness\data\_robustness\"/>
    </mc:Choice>
  </mc:AlternateContent>
  <xr:revisionPtr revIDLastSave="0" documentId="13_ncr:1_{702293D1-82ED-4C6A-A6E9-AB43FB149569}" xr6:coauthVersionLast="47" xr6:coauthVersionMax="47" xr10:uidLastSave="{00000000-0000-0000-0000-000000000000}"/>
  <bookViews>
    <workbookView xWindow="-28920" yWindow="-6705" windowWidth="29040" windowHeight="15720" xr2:uid="{00000000-000D-0000-FFFF-FFFF00000000}"/>
  </bookViews>
  <sheets>
    <sheet name="selected papers" sheetId="1" r:id="rId1"/>
    <sheet name="dropped papers" sheetId="2" r:id="rId2"/>
  </sheets>
  <calcPr calcId="191029"/>
  <extLst>
    <ext uri="GoogleSheetsCustomDataVersion2">
      <go:sheetsCustomData xmlns:go="http://customooxmlschemas.google.com/" r:id="rId6" roundtripDataChecksum="I4MmyizXz2+cvmOiAiBdPv8ust47YKLTPg0khx1iIgc="/>
    </ext>
  </extLst>
</workbook>
</file>

<file path=xl/calcChain.xml><?xml version="1.0" encoding="utf-8"?>
<calcChain xmlns="http://schemas.openxmlformats.org/spreadsheetml/2006/main">
  <c r="O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
ID#AAAB22fgcyU
    (2026-03-31 13:05:04)
Please note that the relevant results are in column S, not T. Column T is only relevant when column S is blank. Therefore, the t-value should equal :b=-0.53/0.025.
	-Zoltán Torma
----
New instructions to corrected claim 4:
You should focus on primary schools instead of health facilities in your analysis.
You should control for local need and geographic suitability in your analysis.
	-Zoltán Torma
----
én találtam egy dta filet @zoltan.adam.torma@gmail.com
_Assigned to zoltan.adam.torma@gmail.com_
	-Lívia Kósa
----
@Felix.Holzmeister@uibk.ac.at Felix could you please take a look at this row and help us? We struggled with understanding the article.
_Assigned to felix.holzmeister_
	-Lívia Kósa
@liviakosa.2@gmail.com To me this all seems proper. The instructions could be something like "Determine wheter subjects completely classified as early-preferring types chose the early option systematically more/less often than subjects classified as indifferent types."
	-Felix Holzmeister
----
What does the r=0.48 stand for?
	-Zoltán Torma
----
I suggest that this comparison should replace the ANOVA because it is more specific and hence corresponds better with the main claim
	-Zoltán Torma
----
These reported results are only checks for discriminant validity in a sense that they purport to prove that the measures authors used were sufficiently different from one another (as they are conceptually complementary:pos. valence and neg. valence). See corrected column R for correct results
	-Zoltán Torma
----
I suggest that model A from Table 2 is more suited because of the absence randomly selected risk factors (which model F, the prev. selected model made use of)
	-Zoltán Torma
----
A statistic that answers this questions was exactly was not found, but a related metric (daily minimum temp.) might be used instead. Please not that is yield a slightly higher effect (90% decrease)
	-Zoltán Torma
----
Two closely corresponding results: first uses daily minimum temperature instead of mean. Second uses 90F as its threshold instead of 80F. Another metric for temperature might pose a lesser problem than using another threshold for temperature.
	-Zoltán Torma
----
What are lagged score quartile dummies?
	-Zoltán Torma
----
Let's discuss during the meeting why was model 2 instead of model 1 reported in column Q when the main claim does not mention individual poverty rate which is a control variable in model 2.
	-Zoltán Torma
----
Here we have to decide whether we want to have effect with specified direction as in the prediction or an omnibus test which does not inform us about what the differences between the groups are.
	-Zoltán Torma
----
"Mass support for the market has negative impact on VRLpres" might be a more adequate operationalized claim from the text that corresponds to the main claim.
@liviakosa.2@gmail.com
	-Zoltán Torma
Furthermore, the reported statistics in the cell come from the second full specification column. I have not yet understood why is it the case. I think the simple model corresponds better to the the main claim, which tests the claim without control variables. Also, it is not yet clear to me what structures does Table 1 follow.
	-Zoltán Torma
Maybe the inclusion of the control variable here is an artefact of an earlier main claim? I see that the second part of the main claim is was crossed-out.
	-Zoltán Torma
----
Although it is how it appears in the table annotation, to me the counter-existence of pooled impact and any in confusing.
	-Zoltán Torma
----
You should conduct a statistical test to shed light on the overall effect of ACT subsidy levels on the overall ACT access
	-Zoltán Torma
----
Rodriguez-Lara: https://osf.io/6yxmn/?view_only=d98a544e21b14df087b8a8fdcfb60a5e
	-Deleted user
----
Just flagging for awareness: this link is broken, the link below is associated with the project in this row
	-Deleted user
Goeree: https://osf.io/zc6f5/?view_only=f3d63184cb37443caa1ab1579b3a4904
	-Deleted user
----
this is a statement on methodology to reach claim
	-Balazs Aczel</t>
        </r>
      </text>
    </comment>
  </commentList>
  <extLst>
    <ext xmlns:r="http://schemas.openxmlformats.org/officeDocument/2006/relationships" uri="GoogleSheetsCustomDataVersion2">
      <go:sheetsCustomData xmlns:go="http://customooxmlschemas.google.com/" r:id="rId1" roundtripDataSignature="AMtx7midPBkxrqt1UwaGyJg79WdmH5+Fmg=="/>
    </ext>
  </extLst>
</comments>
</file>

<file path=xl/sharedStrings.xml><?xml version="1.0" encoding="utf-8"?>
<sst xmlns="http://schemas.openxmlformats.org/spreadsheetml/2006/main" count="1534" uniqueCount="1079">
  <si>
    <t>paper_title</t>
  </si>
  <si>
    <t>paper_id</t>
  </si>
  <si>
    <t>discipline</t>
  </si>
  <si>
    <t>reproduction_type (OSF)</t>
  </si>
  <si>
    <t>reproduction result (OSF)</t>
  </si>
  <si>
    <r>
      <rPr>
        <b/>
        <sz val="10"/>
        <color rgb="FF000000"/>
        <rFont val="Calibri"/>
      </rPr>
      <t xml:space="preserve">outcome of the re-calculation of the original effect size 
</t>
    </r>
    <r>
      <rPr>
        <sz val="10"/>
        <color rgb="FF000000"/>
        <rFont val="Calibri"/>
      </rPr>
      <t>(1) we could extract and re-calculate the original effect size; 
(2) we could not extract nor re-calculate the original effect size;
(3) we could extract but could not re-calculate the original effect size; 
(4) we could not extract but could re-calculate the original effect size.</t>
    </r>
  </si>
  <si>
    <t>paper link</t>
  </si>
  <si>
    <r>
      <rPr>
        <b/>
        <sz val="10"/>
        <color rgb="FF000000"/>
        <rFont val="Calibri"/>
      </rPr>
      <t xml:space="preserve">categorization of the claims
</t>
    </r>
    <r>
      <rPr>
        <sz val="10"/>
        <color rgb="FF000000"/>
        <rFont val="Calibri"/>
      </rPr>
      <t xml:space="preserve">
</t>
    </r>
    <r>
      <rPr>
        <sz val="9"/>
        <color rgb="FF000000"/>
        <rFont val="Calibri"/>
      </rPr>
      <t xml:space="preserve">(1) same = </t>
    </r>
    <r>
      <rPr>
        <sz val="10"/>
        <color rgb="FF000000"/>
        <rFont val="Calibri"/>
      </rPr>
      <t>same claim (does not mean they are literally the same, is possible, that numbers are deleted from new);
(2) similar = analogous in meaning, but different angle - is is possible, that one is true, the other is not true
(3) part = new claim is part of the original claim
(2) no = not the same claim;</t>
    </r>
  </si>
  <si>
    <t>why_dropped
1) unavailable, not public or ambiguous data
2) ambiguous description of results or not tranditional hypothesis testing
3) no or unsuccessful reproduction of results by COS
4) other - not suitable for the project</t>
  </si>
  <si>
    <t>the claim /the re-analysts saw/</t>
  </si>
  <si>
    <t>the claim from SCORE collection</t>
  </si>
  <si>
    <t>PICKETT_Criminology_2014_P1rY</t>
  </si>
  <si>
    <t>instructions_for_task_2</t>
  </si>
  <si>
    <t>https://osf.io/arn2u?view_only=da99e28cb72d456f9ba992cb17a99228</t>
  </si>
  <si>
    <t>original statistical result</t>
  </si>
  <si>
    <t>original_materials</t>
  </si>
  <si>
    <t>Related_statistical_result
M-S columns</t>
  </si>
  <si>
    <t>statistics_familiy (z, t, F, or x2)</t>
  </si>
  <si>
    <t>test statistic</t>
  </si>
  <si>
    <t>Benson_BritJournPoliSci_2010_RyL7</t>
  </si>
  <si>
    <t>df_1</t>
  </si>
  <si>
    <t>https://osf.io/7gtp3?view_only=da99e28cb72d456f9ba992cb17a99228</t>
  </si>
  <si>
    <t>df_2 (for F only)</t>
  </si>
  <si>
    <t>sample_size</t>
  </si>
  <si>
    <t>Hiskey_CompPolitStu_2018_AYQG</t>
  </si>
  <si>
    <t>Location_of_result_in_paper</t>
  </si>
  <si>
    <t>https://osf.io/r4t8g?view_only=da99e28cb72d456f9ba992cb17a99228</t>
  </si>
  <si>
    <t>Multi100_OSF_link</t>
  </si>
  <si>
    <t>Avoiding the Ask: A Field Experiment on Altruism, Empathy, and Charitable Giving</t>
  </si>
  <si>
    <t>Aksoy_WorldPolitics_2015_pAY8</t>
  </si>
  <si>
    <t>Andreoni_JournPoliEco_2017_La9x</t>
  </si>
  <si>
    <t>https://osf.io/28gsx?view_only=da99e28cb72d456f9ba992cb17a99228</t>
  </si>
  <si>
    <t>economics</t>
  </si>
  <si>
    <t>Push Button Reproduction</t>
  </si>
  <si>
    <t>reproduced</t>
  </si>
  <si>
    <t>Hansen_JournExpSocPsych_2014_EAa</t>
  </si>
  <si>
    <t>part</t>
  </si>
  <si>
    <t>https://osf.io/dcex7?view_only=da99e28cb72d456f9ba992cb17a99228</t>
  </si>
  <si>
    <t>... the verbal ask ... increased giving ... (p. 625.)</t>
  </si>
  <si>
    <t>Paradoxically, the verbal ask dramatically increased giving but also led to dramatic avoidance.</t>
  </si>
  <si>
    <t>Netemeyer_JournConsRes_2018_Ow0</t>
  </si>
  <si>
    <t>https://osf.io/tyze7?view_only=da99e28cb72d456f9ba992cb17a99228</t>
  </si>
  <si>
    <r>
      <rPr>
        <sz val="10"/>
        <color rgb="FF000000"/>
        <rFont val="Calibri"/>
      </rPr>
      <t xml:space="preserve">You should restrict your analysis to the </t>
    </r>
    <r>
      <rPr>
        <i/>
        <sz val="10"/>
        <color rgb="FF000000"/>
        <rFont val="Calibri"/>
      </rPr>
      <t>easy to avoid the fundraisers</t>
    </r>
    <r>
      <rPr>
        <sz val="10"/>
        <color rgb="FF000000"/>
        <rFont val="Calibri"/>
      </rPr>
      <t xml:space="preserve"> scenario.
You should provide your results in number of givers (per 23-Minute Session) metric instead of dollars of donations.
You should disregard the effect of traffic in your analysis.</t>
    </r>
  </si>
  <si>
    <t>The coefficient on Ask1 reveals that in the one-door conditions, the presence of a verbal request raised the number of donors by 55 percent (from 'Number of Givers per 23-Minute Session' column in Table 2, 'Ask1' variable: coefficient = 4.06; SE clustered by block = 1.135; p &lt; .01).</t>
  </si>
  <si>
    <t>https://osf.io/d3bgc/?view_only=b396679c3b154e0096c9a0191b3a0dfc</t>
  </si>
  <si>
    <t>O’Brien_AmSocioRev_2015_7X54</t>
  </si>
  <si>
    <t>https://osf.io/tz8xh?view_only=da99e28cb72d456f9ba992cb17a99228</t>
  </si>
  <si>
    <t>Montez_Demography_2014_3aPw</t>
  </si>
  <si>
    <t>https://osf.io/bkun8?view_only=da99e28cb72d456f9ba992cb17a99228</t>
  </si>
  <si>
    <t>Mosimann_WorldPolitics_2017_z4dO</t>
  </si>
  <si>
    <t>https://osf.io/3wr2d?view_only=da99e28cb72d456f9ba992cb17a99228</t>
  </si>
  <si>
    <t>Kehoe_JournPoliEco_2013_KRgk</t>
  </si>
  <si>
    <t>https://osf.io/3kcjb?view_only=da99e28cb72d456f9ba992cb17a99228</t>
  </si>
  <si>
    <t>LaFave_Econometrica_2016_EdQy</t>
  </si>
  <si>
    <t>https://osf.io/37q58?view_only=da99e28cb72d456f9ba992cb17a99228</t>
  </si>
  <si>
    <t>Brown_ManagementSci_2014_5PyD</t>
  </si>
  <si>
    <t>https://osf.io/c7kqs?view_only=da99e28cb72d456f9ba992cb17a99228</t>
  </si>
  <si>
    <t>LeBoeuf_JournMarketRes_2010_EKBZ</t>
  </si>
  <si>
    <t>https://osf.io/b6nmp?view_only=da99e28cb72d456f9ba992cb17a99228</t>
  </si>
  <si>
    <t>LOUGHRAN_Criminology_2011_0a3Z</t>
  </si>
  <si>
    <t>https://osf.io/m86qb?view_only=da99e28cb72d456f9ba992cb17a99228</t>
  </si>
  <si>
    <t>Antra_s_Econometrica_2013_a2Yx</t>
  </si>
  <si>
    <t>https://osf.io/xcdr7?view_only=da99e28cb72d456f9ba992cb17a99228</t>
  </si>
  <si>
    <t>Ask1' variable: coefficient = 4.06, SE clustered by block = 1.135, p &lt; 0.01</t>
  </si>
  <si>
    <t>Bauer_JournConflictRes_2017_Z0ma</t>
  </si>
  <si>
    <t>https://osf.io/832zw?view_only=da99e28cb72d456f9ba992cb17a99228</t>
  </si>
  <si>
    <t>Lacina_AmJourPoliSci_2014_3zRW</t>
  </si>
  <si>
    <t>t</t>
  </si>
  <si>
    <t>https://osf.io/zgkxa?view_only=da99e28cb72d456f9ba992cb17a99228</t>
  </si>
  <si>
    <t>Weidmann_BritJournPoliSci_2013_JRpA</t>
  </si>
  <si>
    <t>https://osf.io/zpevu?view_only=da99e28cb72d456f9ba992cb17a99228</t>
  </si>
  <si>
    <t>page 637</t>
  </si>
  <si>
    <t>osf.io/hd8e6</t>
  </si>
  <si>
    <t>Akcinaroglu_JournConflictRes_2012_R0ak</t>
  </si>
  <si>
    <t>https://osf.io/k32vq?view_only=da99e28cb72d456f9ba992cb17a99228</t>
  </si>
  <si>
    <t>Colaresi_AmJourPoliSci_2012_9XrX</t>
  </si>
  <si>
    <t>https://osf.io/rqtxh?view_only=da99e28cb72d456f9ba992cb17a99228</t>
  </si>
  <si>
    <t>Price Subsidies, Diagnostic Tests, and Targeting of Malaria Treatment: Evidence from a Randomized Controlled Trial</t>
  </si>
  <si>
    <t>Cohen_AmEcoRev_2015_2lb5</t>
  </si>
  <si>
    <t>Rich_JournExPsychGen_2018_LbEB</t>
  </si>
  <si>
    <t>https://osf.io/9tv6n?view_only=da99e28cb72d456f9ba992cb17a99228</t>
  </si>
  <si>
    <t>... a very high subsidy ... increases access [to antimalarials] (p. 609.)</t>
  </si>
  <si>
    <t>We show that a very high subsidy (such as the one under consideration by the international community) dramatically increases access, but nearly one-half of subsidized pills go to patients with-out malaria.</t>
  </si>
  <si>
    <t>You should use the 92 percent ACT subsidy levels in your analysis.
You should use the overall ACT access in your analysis.</t>
  </si>
  <si>
    <t xml:space="preserve">Column 1 of Table 2 reports results on  ACT access. [The coefficient for “B1. ACT subsidy = 92 percent” is 0.225 with robust standard errors clustered at the household level of 0.053, significant at the 1 percent level.] </t>
  </si>
  <si>
    <t>https://osf.io/nw5ve/?view_only=da75830db2534048b96504eca4444f11</t>
  </si>
  <si>
    <t>Goeree_Econometrica_2011_1574</t>
  </si>
  <si>
    <t>https://osf.io/stz7n?view_only=da99e28cb72d456f9ba992cb17a99228</t>
  </si>
  <si>
    <t>Rinaldi_Cognition_2016_Kj9d</t>
  </si>
  <si>
    <t>https://osf.io/jvpf8?view_only=da99e28cb72d456f9ba992cb17a99228</t>
  </si>
  <si>
    <t>King_JournOrgBehavior_2017_Q1dl</t>
  </si>
  <si>
    <t>https://osf.io/en6v5?view_only=da99e28cb72d456f9ba992cb17a99228</t>
  </si>
  <si>
    <t>Wetzel_EurJournPersonality_2016_Ovkm</t>
  </si>
  <si>
    <t>https://osf.io/8j97e?view_only=da99e28cb72d456f9ba992cb17a99228</t>
  </si>
  <si>
    <t>Any ACT subsidy: coefficient = 0.187, SE clustered at the household level = 0.038, significant at the 1 percent level</t>
  </si>
  <si>
    <t>Rodriguez-Lara_ExpEco_2012_AgO1</t>
  </si>
  <si>
    <t>https://osf.io/9up6k?view_only=da99e28cb72d456f9ba992cb17a99228</t>
  </si>
  <si>
    <t>page 627</t>
  </si>
  <si>
    <t>osf.io/8bdja</t>
  </si>
  <si>
    <t>Anderson_ManagementSci_2018_ZaZK</t>
  </si>
  <si>
    <t>https://osf.io/ap6h5?view_only=da99e28cb72d456f9ba992cb17a99228</t>
  </si>
  <si>
    <t>Barsbai_AmEcoJourn_2017_9OK1</t>
  </si>
  <si>
    <t>https://osf.io/q4k3h?view_only=da99e28cb72d456f9ba992cb17a99228</t>
  </si>
  <si>
    <t>The Latin American Left’s mandate: Free-Market Policies and Issue Voting in New Democracies</t>
  </si>
  <si>
    <t>Baker_WorldPolitics_2011_9lBL</t>
  </si>
  <si>
    <t>Goodman_JournLabEco_2013_DDj2</t>
  </si>
  <si>
    <t>https://osf.io/t9w6b?view_only=da99e28cb72d456f9ba992cb17a99228</t>
  </si>
  <si>
    <t>political science</t>
  </si>
  <si>
    <t>similar</t>
  </si>
  <si>
    <t>... leftist victories in presidential elections result from voters’ declining enthusiasm for market reforms ... (p. 44.)</t>
  </si>
  <si>
    <t>Using a new measure of voter ideology called vote-revealed leftism (VRL) and a time-series cross-sectional analysis of aggregate public opinion indicators generated from mass surveys of eighteen countries over thirteen years, the authors show that the left has a clear economic policy mandate but that this mandate is much more moderate than many observers might expect.</t>
  </si>
  <si>
    <t>You should ignore anti-american and performance mandate indicators in your analysis.
You should include all countries' data in your analysis.</t>
  </si>
  <si>
    <t>Mass preferences about the market have the same large impact when controlling for subjective performance evaluations. This indicates that market-policy attitudes are not simply a tally of retrospective economic evaluations, but rather capture citizens’ deeper beliefs about the best policy direction for their governments to pursue (coefficient on mass support for the market (t-1) term = –.788, robust SE = .310, p &lt; .05).</t>
  </si>
  <si>
    <t>https://osf.io/nxk65/?view_only=b7d9e144145641e093b81b652c3a6b45</t>
  </si>
  <si>
    <t>Mass support for the market (t-1) term, simple model = –.751, robust SE = .288, p &lt; .05.
Mass support for the market (t-1) term: coefficient = –0.788, robust SE = 0.310, p &lt; 0.05</t>
  </si>
  <si>
    <t>–2.53935</t>
  </si>
  <si>
    <t>page 65</t>
  </si>
  <si>
    <t>osf.io/8q5zx</t>
  </si>
  <si>
    <t>The Beheading of Criminal Organizations and the Dynamics of Violence in Mexico</t>
  </si>
  <si>
    <t>Caldero_n_JournConflictRes_2015_Nv99</t>
  </si>
  <si>
    <t>... captures or killings of drug cartel leaders have exacerbating short-term effects ... on DTO-related violence ...(pp. 1455-1456.)</t>
  </si>
  <si>
    <t>We find evidence that captures or killings of drug cartel leaders have exacerbating effects not only on DTO-related violence but also on homicides that affect the general population.</t>
  </si>
  <si>
    <t>You should be as inclusive as possible regarding your sample choice.
You should disregard spillover effects in neighbouring municipalities in your analysis.
You should disregard strategic features of the municipalities in your analysis.</t>
  </si>
  <si>
    <t>The estimated effects for leadership captures or killings in the difference-in-difference specification using the full weighted sample (model 3) are of similar magnitude and significance to other results. With respect to its synthetic counterfactual, the capture of a leader is related to average increases of 36.5 percent, in drug-related homicides, during the first six months after the capture (from Model 3: coefficient on 'after(1–6 months) * (leader)' term = 0.311; robust SE clustered at the municipality level = 0.126; p &lt; .05).</t>
  </si>
  <si>
    <t>https://osf.io/bsv24/?view_only=84df9267c74b482fa3cf2f4dc611ee48</t>
  </si>
  <si>
    <t>after(1–6 months) * (leader)' term: coefficient = 0.311; robust SE clustered at the municipality level = 0.126; p &lt; .05</t>
  </si>
  <si>
    <t>z</t>
  </si>
  <si>
    <t>page 1472</t>
  </si>
  <si>
    <t>osf.io/fw69k</t>
  </si>
  <si>
    <t>Administrative Unit Proliferation</t>
  </si>
  <si>
    <t>GROSSMAN_AmPoliSciRev_2014_LyWB</t>
  </si>
  <si>
    <t>Areas that are more marginalized—politically... are more likely to secede from their local administrative unit, forming “their own” new local government. (p. 196.)</t>
  </si>
  <si>
    <t>We posit that administrative unit proliferation occurs where and when there is a confluence of interests between the national executive and local citizens and elites from areas that are politically, economically, and ethnically marginalized.</t>
  </si>
  <si>
    <t>You should disregard election results in the past when conducting your analysis.
You should disregard the time-invariant sociodemographic measures, population size and ethnic fractionalization in your analysis.
You should not proxy material marginalization using a social services summary index in your analysis. 
You should disregard the three measures of economic wellbeing: share of non-poor, share of paid employees, and share of non- agricultural employment for quantifying material marginalization.
You should use the DEC share ratio metric instead of County Share of seats in DEC in your analysis.
You should not add the unit (county) mean to the model for each time-varying covariate to account for the between-county effect.
You should ignore the possibility that a contagion effect or unobserved location-related effects are driving some of the variation in counties’ proclivities to split.</t>
  </si>
  <si>
    <t>The likelihood that a county secedes to form a new district is decreasing in its DEC share (coefficient on DEC share ratio term = -0.79, SE = 0.20, p &lt; 0.01).</t>
  </si>
  <si>
    <t>https://osf.io/fh7k4/?view_only=bfb667322dba4c1ca47404da7a38b156</t>
  </si>
  <si>
    <t>DEC share ratio: coefficient = - 0.79, SE = 0.20, p &lt; 0.01</t>
  </si>
  <si>
    <t>page 208</t>
  </si>
  <si>
    <t>osf.io/nz9br</t>
  </si>
  <si>
    <t>Ambivalence and certainty can interact to predict attitude stability over time</t>
  </si>
  <si>
    <t>Luttrell_JournExpSocPsych_2016_rjb</t>
  </si>
  <si>
    <t>psychology</t>
  </si>
  <si>
    <t>same</t>
  </si>
  <si>
    <t>Across these longitudinal studies examining different attitude objects, greater certainty was associated with greater stability across different time points as ambivalence decreased... (p. 56.)</t>
  </si>
  <si>
    <t>Across these longitudinal studiesexamining different attitude objects, greater certainty was associated with greater stability across different time points as ambivalence decreased, and greater ambivalence was associated with greater instability as attitude certainty increased.</t>
  </si>
  <si>
    <t>You should use the Study 1 dataset for your analysis.
You should use objective measures of ambivalence instead of subjective measures in your analysis.</t>
  </si>
  <si>
    <t>Most importantly, there | was a significant certainty × objective ambivalence interaction, B = .04,t(169) = 2.28, p = .02, 95% CI: [.01, .07].</t>
  </si>
  <si>
    <t>https://osf.io/q67m9/?view_only=e29b4bddc8bf4052b3725ad2d23fdaad</t>
  </si>
  <si>
    <t>B = 0.04, t(169) = 2.28, p = 0.02, 95% CI: [0.01, 0.07]</t>
  </si>
  <si>
    <t>page 61</t>
  </si>
  <si>
    <t>osf.io/xw375</t>
  </si>
  <si>
    <t>Neighborhood structural characteristics, individual-level attitudes, and youths' crime reporting intentions</t>
  </si>
  <si>
    <t>ANN_SLOCUM_Criminology_2010_JxXe</t>
  </si>
  <si>
    <t>criminology</t>
  </si>
  <si>
    <t>Extended Push Button Reproduction</t>
  </si>
  <si>
    <t>We find that neighborhood poverty has an inverse relationship with crime reporting intentions… (p. 1064.)</t>
  </si>
  <si>
    <t>We find that neighborhood poverty has an inverse relationship with crime reporting intentions….</t>
  </si>
  <si>
    <t>You should ignore youth's individual-level differences within their neighbourhood in your analysis.</t>
  </si>
  <si>
    <t>The result was a statistically significant coefficient for the the “Poverty” variable, b = -.50, SE = .025, p &lt; .05.</t>
  </si>
  <si>
    <t>https://osf.io/8udve/?view_only=4136086868d64e6ea191dd172c45bcf2</t>
  </si>
  <si>
    <t>coefficient for Poverty = -0.50, SE = 0.025, p &lt; 0.05</t>
  </si>
  <si>
    <t>page 1083</t>
  </si>
  <si>
    <t>osf.io/ex5n7</t>
  </si>
  <si>
    <t>The Effects of High Stakes High School Achievement Awards: Evidence from a Randomized Trial</t>
  </si>
  <si>
    <t>Angrist_AmEcoRev_2009_Gv3O</t>
  </si>
  <si>
    <t>The experiment used a school-based randomization design offering awards to all who passed their exams in treated schools. This led to a substantial increase in certification rates for girls... (p. 1384.)</t>
  </si>
  <si>
    <t>The experiment used a school-based randomization design offering awards to all who passed their exams in treated schools. This led to a substantial increase in certification rates for girls but had no effect on boys.</t>
  </si>
  <si>
    <t>You should focus on the posttreatment year in your analysis.
You should not divide the sample to subgroups when conducting your analysis.
You should not control for lagged score quartile dummies and individual characteristics in your analysis.
You should not use Logit in your analysis.</t>
  </si>
  <si>
    <t>The estimates in Table 2 suggest that the Achievement Awards program had no effect on boys, but show reasonably clear evidence of increased Bagrut rates for girls. [Treatment effect for "Model with school covariates, quartile dummies, micro covariates” is 0.105 with standard errors of 0.047. ]</t>
  </si>
  <si>
    <t>https://osf.io/xjwa6/?view_only=9f4f22856314419d9e65f88a8accfaa5</t>
  </si>
  <si>
    <t>b = 0.105, BRL SE = 0.047</t>
  </si>
  <si>
    <t>page 1394</t>
  </si>
  <si>
    <t>osf.io/n78pt</t>
  </si>
  <si>
    <t>Child-Adoption Matching: Preferences for Gender and Race</t>
  </si>
  <si>
    <t>Baccara_AmEcoJourn_2014_RqVE</t>
  </si>
  <si>
    <t>AP [adaptive parents] have a positive ... preference in favor of (non-African American) girls (p. 151.)</t>
  </si>
  <si>
    <t>We identify significant preferences favoring girls and against African American children put up for adoption.</t>
  </si>
  <si>
    <t>You should include the entire PAP (prospective adoptive parents) sample in your analysis.</t>
  </si>
  <si>
    <t>In other words, PAPs have a positive and sizable preference in favor of ( non-African American) girls. From Table 5 - coefficient for Non-African American girl = 0.028 (4.23), significant at the 0.1 percent level.</t>
  </si>
  <si>
    <t>https://osf.io/vsxwz/?view_only=7aa6fa69c01b47fdb4b52a46bb4bb31b</t>
  </si>
  <si>
    <t>coefficient for Non-African American girl = 0.028, t-statistic = 4.23, significant at the 0.1 percent level</t>
  </si>
  <si>
    <t>page 149</t>
  </si>
  <si>
    <t>osf.io/f6vs9</t>
  </si>
  <si>
    <t>Adapting to Climate Change: The Remarkable Decline in the US Temperature-Mortality Relationship over the Twentieth Century</t>
  </si>
  <si>
    <t>Barreca_JournPoliEco_2016_J999</t>
  </si>
  <si>
    <t>there was a ... decline in the temperature-mortality relationship across decades (p. 133.)</t>
  </si>
  <si>
    <t>...the mortality impact of days with mean temperature exceeding 807F declined by 75 percent. Almost the entire decline occurred after 1960.</t>
  </si>
  <si>
    <t>You should use 90 °F as a threshold for temperature extremes.
You should compute the decline between the 1931–59 and 1960–2004 periods.
You should conduct your analysis without geographical, or precipitation frequency specification of the data.
You should use a 2 months temperature exposure window in your analysis.
You should disregard socio-economic factors and technological and public health advancements over time in your analysis.
You should not specify the causes of death in your analysis.</t>
  </si>
  <si>
    <t>Table 6 presents the results from the fitting of several versions of equation 2. Panel B indicates that the diffusion of residential air conditioning is associated with a sizable and statistically significant decrease in mortality due to hot days in the 1960-2004 period. The estimates in columns 2b and 3b suggest that each 10 percentage point increase in residential AC ownership is associated with a decrease in the mortality effect of &gt;90F days by 0.0021 log points; this is roughly 10 percent of the effect of a &gt;90F day in the pre-1960 period. In Table 6, the coefficient of “number of days above 90F x share of residential AC” is -0.0212 with a standard error of 0.0054 and a p-value &lt; 0.001.</t>
  </si>
  <si>
    <t>https://osf.io/gpz8h/?view_only=596b97e1bbbc4463ab0887eb399fa019</t>
  </si>
  <si>
    <t>“Number of days above 90F x share of residential AC”: coefficient = -0.0212, CE clustered on the state = 0.0054, p-value &lt; 0.001</t>
  </si>
  <si>
    <t>page 139</t>
  </si>
  <si>
    <t>osf.io/nq638</t>
  </si>
  <si>
    <t>Do Job Networks Disadvantage Women? Evidence from a Recruitment Experiment in Malawi</t>
  </si>
  <si>
    <t>Beaman_JournLabEco_2018_7ybJ</t>
  </si>
  <si>
    <t>CA [conventional applicant] men are less likely to refer women than CA women (pp. 132-133.)</t>
  </si>
  <si>
    <t>We find that men systematically refer few women, despite being able to refer qualified women when explicitly asked for female candidates.</t>
  </si>
  <si>
    <t>You should disregard the specific financial incentives of referral in your analysis.
You should use the either-gender treatment scenario in your analysis.</t>
  </si>
  <si>
    <t>The difference in application rates is driven by men systematically referring other men when given the choice: women refer women at approximately the rate by which women apply themselves through the traditional method (43% of the time), while men refer women only 23% of the time. The difference between male and female conventional applicants is significant at the 1% level (p = .002) (column 4 of panel C in table 1).</t>
  </si>
  <si>
    <t>https://osf.io/2qngf/?view_only=6cbc2b00b8c54b25b7c32d6c1ff50eac</t>
  </si>
  <si>
    <t>p &lt; 0.05</t>
  </si>
  <si>
    <t>F</t>
  </si>
  <si>
    <t>page 132</t>
  </si>
  <si>
    <t>osf.io/3wxnk</t>
  </si>
  <si>
    <t>Aligning Learning Incentives of Students and Teachers: Results from a Social Experiment in Mexican High Schools</t>
  </si>
  <si>
    <t>Behrman_JournPoliEco_2015_G55r</t>
  </si>
  <si>
    <t>Providing ALI [Aligning Learning Incentives] incentives to students and mathematics teachers for their own performance and for that of their peers and for other teachers and school administrators led to ... increasing test scores... (p. 358.)</t>
  </si>
  <si>
    <t>Program impact estimates reveal the largest average effects for treatment 3, smaller impacts for treatment 1, and no impact for treatment 2.</t>
  </si>
  <si>
    <r>
      <rPr>
        <sz val="10"/>
        <color rgb="FF000000"/>
        <rFont val="Calibri"/>
      </rPr>
      <t>You should use the control condition as a reference category for increasing test scores.
You should report your results with copying adjustment.
You should use the Year 1: Academic Year 2008/9 for 10th grade results for your analysis.
You should focus the homogeneous treatment effect in your analysis.
You should not differentiate per</t>
    </r>
    <r>
      <rPr>
        <sz val="10"/>
        <color rgb="FF000000"/>
        <rFont val="Calibri"/>
      </rPr>
      <t xml:space="preserve"> Student and Teacher Effort in your analysis.</t>
    </r>
  </si>
  <si>
    <t>In year 1...On the basis of the adjusted estimates, T3 students in the tenth grade scored 31.4 standardized points higher, on average, than did C [control group] students [Each standardized point represents 0.01 of a standard deviation.]. A 95 percent confidence interval for T3 ranges from 19.8 to 43.0 points (from Table 7, 'Year 1: Academic Year 2008/9 -- T3' column, 'With copying adjustment: 10th grade: ATE' row: estimate = 31.4; SE = 5.79).</t>
  </si>
  <si>
    <t>https://osf.io/njw6q/?view_only=7d16467bba004af1ac7022aa802c18d2</t>
  </si>
  <si>
    <t>Year 1: Academic Year 2008/9 -- T3' column, 'With copying adjustment: 10th grade: ATE' row: estimate = 31.4, SE = 5.79</t>
  </si>
  <si>
    <t>page 346</t>
  </si>
  <si>
    <t>osf.io/mb546</t>
  </si>
  <si>
    <t>Does decision error decrease with risk aversion?</t>
  </si>
  <si>
    <t>Bruner_ExpEco_2017_amYY</t>
  </si>
  <si>
    <t>the likelihood ... [of decision error] should decrease with the degree of risk aversion (p. 269.)</t>
  </si>
  <si>
    <t>More importantly, violations are consistent with stochastic decision error that decreases with risk aversion.</t>
  </si>
  <si>
    <t>You should not use rank-order tests in your analysis.</t>
  </si>
  <si>
    <t>The result, consistent with Hypothesis 2, is a significant and negative Pearson’s correlation coefficient that is , r = -.4625, p = 0.0000.</t>
  </si>
  <si>
    <t>https://osf.io/8xq95/?view_only=f00ab18c5cf94087994e3bb0740ddad1</t>
  </si>
  <si>
    <t>Pearson’s correlation coefficient = -0.4625, p = 0.0000</t>
  </si>
  <si>
    <t>page 270</t>
  </si>
  <si>
    <t>osf.io/qcrf5</t>
  </si>
  <si>
    <r>
      <rPr>
        <sz val="10"/>
        <color theme="1"/>
        <rFont val="Calibri"/>
      </rPr>
      <t xml:space="preserve">The Schooling Decision: Family Preferences, Intergenerational Conflict, and Moral Hazard in the Brazilian </t>
    </r>
    <r>
      <rPr>
        <i/>
        <sz val="10"/>
        <color theme="1"/>
        <rFont val="Calibri"/>
      </rPr>
      <t>Favelas</t>
    </r>
  </si>
  <si>
    <t>Bursztyn_JournPoliEco_2012_jaK4</t>
  </si>
  <si>
    <t>Armed with this monitoring technology [text-messages] ... the proportion [of parents] willing to pay to keep the conditionality drops ... compared to the baseline treatment. (p. 362.)</t>
  </si>
  <si>
    <t>...few parents prefer conditional payments if they are offered text message notifications whenever their child misses school.</t>
  </si>
  <si>
    <t>You should include individual and household covariates: household income, employed parent dummy, employed parent’s spouse dummy, age (parent and child), male dummy (parent and child), higher show-up fee dummy, weekly discount factor (parent and child), time inconsistency discount factor [beta] (for parent and child), marital status (parent), religion, dummies, number of children in the household, household is earning CCTs for more than one child, race dummies (parent and child), years of schooling (parent and child). 
You should not include Surveyor and school dummies.</t>
  </si>
  <si>
    <t>In table 4, we present the treatment effects…[The coefficient for “Text message treatment dummy” is 0.5819 with standard errors clustered by school of 0.091, significant at 1 percent level.]</t>
  </si>
  <si>
    <t>https://osf.io/mdh4x/?view_only=80fa4a04145e4d0c84a63ac6ee80ca61</t>
  </si>
  <si>
    <t>“Text message treatment dummy”: estimate = 0.5819, SE clustered by school = 0.091, significant at 1 percent level</t>
  </si>
  <si>
    <t>page 385</t>
  </si>
  <si>
    <t>osf.io/xj78c</t>
  </si>
  <si>
    <t>The Performance and Competitive Effects of School Autonomy</t>
  </si>
  <si>
    <t>Clark_JournPoliEco_2009_e5rW</t>
  </si>
  <si>
    <t>I find that schools that converted to GM [grant maintained] status enjoyed large improvements in student achievement (p. 777.)</t>
  </si>
  <si>
    <t>Almost one in three high schools voted on autonomy between 1988 and 1997, and using a version of the regression discontinuity design, I find large achievement gains at schools in which the votebarely won compared to schools in which it barely lost.</t>
  </si>
  <si>
    <r>
      <rPr>
        <sz val="10"/>
        <color rgb="FF000000"/>
        <rFont val="Calibri"/>
      </rPr>
      <t>Report the impact of GM transition after 2 years of the vote.</t>
    </r>
    <r>
      <rPr>
        <sz val="10"/>
        <color rgb="FFFF0000"/>
        <rFont val="Calibri"/>
      </rPr>
      <t xml:space="preserve">
</t>
    </r>
    <r>
      <rPr>
        <sz val="10"/>
        <color rgb="FF000000"/>
        <rFont val="Calibri"/>
      </rPr>
      <t>Analyze the intention to treat effect instead of per-protocol effect. Use regression discontinuity design. Do not allow different slopes on either side of the 50 percent threshold.</t>
    </r>
  </si>
  <si>
    <t>[O]nly 2 years after the vote, a GM vote win is estimated to increase performance by around 3 percentage points. [The coefficient for “Base + 2” is 3.587 with robust standard errors of 1.148.]</t>
  </si>
  <si>
    <t>https://osf.io/yj35k/?view_only=d4451dbf78214c8ab1923d497515880c</t>
  </si>
  <si>
    <t>“Base + 2” = 3.587, robust SE = 1.148</t>
  </si>
  <si>
    <t>page 758</t>
  </si>
  <si>
    <t>osf.io/78re2</t>
  </si>
  <si>
    <t>Demographics and Entrepreneurship</t>
  </si>
  <si>
    <t>Liang_JournPoliEco_2018_q8xv</t>
  </si>
  <si>
    <t>... decrease in a country’s median age increases new business formation ... (p. S140.)</t>
  </si>
  <si>
    <t>A one standard deviation decrease in a country’s median age increases new business formation by 2.5 percentage points, which is about 40 percent of the mean rate.</t>
  </si>
  <si>
    <r>
      <rPr>
        <sz val="10"/>
        <color rgb="FF000000"/>
        <rFont val="Calibri"/>
      </rPr>
      <t xml:space="preserve">Use all countries in your analysis instead of the subset of OECD countries.
You should not use </t>
    </r>
    <r>
      <rPr>
        <i/>
        <sz val="10"/>
        <color rgb="FF000000"/>
        <rFont val="Calibri"/>
      </rPr>
      <t>r</t>
    </r>
    <r>
      <rPr>
        <sz val="10"/>
        <color rgb="FF000000"/>
        <rFont val="Calibri"/>
      </rPr>
      <t xml:space="preserve"> (as defined in the study; the predictor of median age) in your analysis.
You should not control for: country’s entrepreneurship rate, Log(GDPpc), GDP growth rate, Percentage of agriculture in GDP, College enrollment rate, Start-up cost (% of GNP per capita), Property rights index, Military service, The interaction term of the country’s entrepreneurship rate and military service.</t>
    </r>
  </si>
  <si>
    <t>[Coefficient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</si>
  <si>
    <t>https://osf.io/vx54u/?view_only=6c87f474dc594070817403ed417a041d</t>
  </si>
  <si>
    <t>“Median age (ages 20-64)” = - 0.007, SE clustered at the country level = - 0.001, significant at 1 percent</t>
  </si>
  <si>
    <t>page S166</t>
  </si>
  <si>
    <t>osf.io/g5esn</t>
  </si>
  <si>
    <t>Peer Effects in Microenvironments:The Benefits of Homogeneous Classroom Groups</t>
  </si>
  <si>
    <t>Lu_JournLabEco_2015_vaWE</t>
  </si>
  <si>
    <t>partially reproduced -- p-value not attempted due to length of computation time</t>
  </si>
  <si>
    <t>... being surrounded by five females rather than five males increases a female’s test scores ... (p. 91)</t>
  </si>
  <si>
    <t>We find that being surrounded by five females rather than five males increases a female’s test scores by 0.2 – 0.3 standard deviations...</t>
  </si>
  <si>
    <t>Use all students in the sample in your analysis instead of only low or high scoring ones. 
Use neighbor 5 measure instead of neighbor 4 measure.</t>
  </si>
  <si>
    <t>Column 1 of panel B in Table 5 demonstrates that female students have positive and statistically significant effects on neighboring female students (0.21 standard deviations, SE clustered by classroom = 0.08, permutation-based p-value = .021). This estimate implies that moving a female student from an all-boy microenvironment to an all-girl microenvironment increases her test scores by approximately 0.2 standard deviations.</t>
  </si>
  <si>
    <t>https://osf.io/wvc4r/?view_only=1f49b82c625e4a2cb5260462f5cc7d97</t>
  </si>
  <si>
    <t>Share female in neighbor 5 = 0.211, SE clustered by classroom = 0.076, permutation-based p-value = .021</t>
  </si>
  <si>
    <t xml:space="preserve">t </t>
  </si>
  <si>
    <t>page 106</t>
  </si>
  <si>
    <t>osf.io/72mqv</t>
  </si>
  <si>
    <t>“A” Business by Any Other Name: Firm Name Choice as a Signal of Firm Quality</t>
  </si>
  <si>
    <t>McDevitt_JournPoliEco_2014_yQeR</t>
  </si>
  <si>
    <t>The average plumbing firm whose name begins with A or a number receives... more service complaints than other firms ...(p. 909.)</t>
  </si>
  <si>
    <t>…plumbers with A names advertise more in the Yellow Pages and on Google, and doing so is positively correlated with receiving complaints</t>
  </si>
  <si>
    <t>Use only the data of Illinois Plumbing Firms in your model. Do not restrict your sample to those firms that serve the metro Chicago area.
Do not include the reviews received via yelp.com, Angie’s List, and Consumer’s Checkbook into your analysis.
You should use the overall complaints number instead of complaints per employee.</t>
  </si>
  <si>
    <t>Most notably, firms that use names beginning with an A or a number receive more than five times as many complaints overall...Plumbing firms that use a name beginning with an A or a number differ from other firms in many respects, as shown in table 2. [Mean of the variable for Name Begins with A: No = 0.248 and Yes = 1.339 with t-statistic of 6.79.]</t>
  </si>
  <si>
    <t>https://osf.io/z7mfu/?view_only=277b7d18bb24436eb5cfca69a07eb07a</t>
  </si>
  <si>
    <t>Mean of the variable for Name Begins with A: No = 0.248 and Yes = 1.339, t-statistic of 6.79</t>
  </si>
  <si>
    <t>page 921</t>
  </si>
  <si>
    <t>osf.io/fqzby</t>
  </si>
  <si>
    <t>Wage Increases and the Dynamicsof Reciprocity</t>
  </si>
  <si>
    <t>Sliwka_JournLabEco_2017_VDJV</t>
  </si>
  <si>
    <t>A profile that continuously increases wages by small amounts raises performance ... relative to a constant wage. (p. 299.)</t>
  </si>
  <si>
    <t>A profile that continuously increases wages by small amounts raises performance by about 15% relative to a constant wage.</t>
  </si>
  <si>
    <t>You should use the dataset for the first, original experiment (ABCD sections) in your analysis.
You should be as inclusive as possible with respect to the time periods to include in your analysis.
You should disregard individual differences in social attitude.
You should disregard the specifics of when and to what extent wage was increased.</t>
  </si>
  <si>
    <t>Concerning total performance (model 1)...T_Continuous significantly outperforms Baseline by about 15%. Hence, a simple reallocation of money across periods that implements frequent wage increases leads to a significant increase in overall performance in the authors' setting without any costs to the principal (from Table 3, 'Periods 1-8' column, 'T_Continuous' term: estimate = .148; robust SE = .070; p &lt; .05).</t>
  </si>
  <si>
    <t>https://osf.io/9zuwg/?view_only=30a25ee80fc947bfbf125c6efaa3fb3e</t>
  </si>
  <si>
    <t>T_Continuous' term: estimate = 0.148, robust SE = 0.070, p &lt; 0.05</t>
  </si>
  <si>
    <t>2,13129</t>
  </si>
  <si>
    <t>page 321</t>
  </si>
  <si>
    <t>osf.io/2yjrv</t>
  </si>
  <si>
    <t>Marriage Networks, Nepotism, and Labor Market Outcomes in China</t>
  </si>
  <si>
    <t>Wang_AmEcoJourn_2013_7d4J</t>
  </si>
  <si>
    <t>... the loss of the father-in-law translates into a decrease in a man’s earnings ... (p. 91.)</t>
  </si>
  <si>
    <t>The estimates suggest that the loss of the father-in-law translates into a decrease in a man’s earnings of 7 percent.</t>
  </si>
  <si>
    <t>You should ignore the number of years married and current health status of agents in your analysis.
You should use the 'State and Life Chances in Urban China' dataset in your analysis.
You should disregard the life status of other in-law family members.
You should disregard the Time and Financial Expenditures/relationship specifications the couple had with the in-law family members.
You should not differentiate per employment sector in your analysis.</t>
  </si>
  <si>
    <t>In the SLCC (dataset), the corresponding estimates of the impact of the death of the father-in-law is a decline in wages of 7 percent. From Table 2, the coefficient of “PostFILdeath” on the logarithm earnings = -0.069, significant at the 5 percent level.</t>
  </si>
  <si>
    <t>https://osf.io/ezuas/?view_only=39b38f8f5eb4435d9d525d63caf5432d</t>
  </si>
  <si>
    <t>coefficient for PostFILdeath on the logarithm earnings = -0.069, SE = 0.034, significant at the 5 percent level</t>
  </si>
  <si>
    <t>page 97</t>
  </si>
  <si>
    <t>osf.io/kjnx3</t>
  </si>
  <si>
    <t>The paradox of family structure and plans after work: Why single childless employees may be the least absorbed at work</t>
  </si>
  <si>
    <t>Dumas_AcaManageJourn_2018_5KrD</t>
  </si>
  <si>
    <t>management</t>
  </si>
  <si>
    <t>... single, childless workers reported lower absorption than workers with other family structures. (p. 1231)</t>
  </si>
  <si>
    <t>A survey of business school alumni (Study 1) revealed that single, childless workers reported lower absorption than workers with other family structures.</t>
  </si>
  <si>
    <t>You should use the dataset of Study1 for your analysis.</t>
  </si>
  <si>
    <t>As the authors expected, the effect of being single and childless on work absorption was negative and significant (b = -.31, SE = 0.13, p &lt; .05).</t>
  </si>
  <si>
    <t>https://osf.io/rqukb/?view_only=95410e175e3c4583adcf5a14cf10b67b</t>
  </si>
  <si>
    <t>(least squares regression) b = -0.31, SE = 0.13, p &lt; 0.05</t>
  </si>
  <si>
    <t>page 1236</t>
  </si>
  <si>
    <t>osf.io/zvq7f</t>
  </si>
  <si>
    <t>To Know and to Care: How Awareness and Valuation of the Future Jointly Shape Consumer Spending</t>
  </si>
  <si>
    <t>Bartels_JournConsRes_2015_mrZ</t>
  </si>
  <si>
    <t>marketing/org behavior</t>
  </si>
  <si>
    <t>Cues that highlight opportunity costs reduce spending primarily when people …are more connected to their future selves. (p. 1469.)</t>
  </si>
  <si>
    <t>[C]ues that highlight opportunity costs reduce spending primarily when people …are more connected to their future selves.</t>
  </si>
  <si>
    <t>You should use the dataset for Study 1a for your analysis.
You should treat psychological connectedness as a continuous measure.</t>
  </si>
  <si>
    <t>In Study 1a, a z-test of whether the correlation between the index of participants’ measured connection to their future self and the dichotomous choice to spend or not spend money differs between the condition in which opportunity cost is highlighted (biserial correlation r(43) = -0.41), versus not highlighted (biserial correlation (r(45) = 0.04; z = 2.14, p &lt; 0.05)</t>
  </si>
  <si>
    <t>https://osf.io/h6m5d/?view_only=b23bbc54fbfb438595d8db9ac8f62ea4</t>
  </si>
  <si>
    <t>z = 2.14, p &lt; 0.05</t>
  </si>
  <si>
    <t>NA</t>
  </si>
  <si>
    <t>page 1473</t>
  </si>
  <si>
    <t>osf.io/gc7df</t>
  </si>
  <si>
    <t>Should Firms Use Small Financial Benefits to Express Appreciation to Consumers? Understanding and Avoiding Trivialization Effects</t>
  </si>
  <si>
    <t>Liu_JournMarket_2015_9DZl</t>
  </si>
  <si>
    <t>... a financial acknowledgment (defined as an acknowledgment with a monetary benefit) can lead to less positive outcomes than offering a verbal acknowledgment (defined as an acknowledgment without a monetary benefit), ... (p. 74.)</t>
  </si>
  <si>
    <t>This article demonstrates that, indeed, a financial acknowledgment (defined as an acknowledgment with a monetary benefit) can lead to less positive outcomes than offering a verbal acknowledgment (defined as an acknowledgment without a monetary benefit), a phenomenon termed the “trivialization effect.”</t>
  </si>
  <si>
    <t>You should analyze the data of Study 1a.</t>
  </si>
  <si>
    <t>A one-way analysis of variance (ANOVA) showed that participants who received an acknowledgment with $.05 felt significantly less appreciated than participants who received an acknowledgment without $.05 (M = 4.38 vs. M = 5.57; F(1, 47) = 8.50, p = .005), in support of H1.</t>
  </si>
  <si>
    <t>https://osf.io/5r4yp/?view_only=621d437b4a2a4e288e27e0604050ba79</t>
  </si>
  <si>
    <t>M = 4.38 vs. M = 5.57; F(1, 47) = 8.50, p = 0.005</t>
  </si>
  <si>
    <t>page 79</t>
  </si>
  <si>
    <t>osf.io/ktp8d</t>
  </si>
  <si>
    <t>Framing Influences Willingness to Pay but Not Willingness to Accept</t>
  </si>
  <si>
    <t>Yang_JournMarketRes_2013_G1Lr</t>
  </si>
  <si>
    <t>participants were willing to pay less for the risky prospect when it was called a lottery ticket than when it was called an uncertain gift card (p. 727.)</t>
  </si>
  <si>
    <t>Buyers’ willingness to pay is influenced by the extent to which a risky prospect’s frame is associated with risk (Experiment 1)...</t>
  </si>
  <si>
    <t>You should use only the dataset of Experiment 1 in your analysis.</t>
  </si>
  <si>
    <t>Participants in the lottery condition were willing to pay less (M = $5.68, SD = $6.69, Mdn = $5.00) than participants in the gift card condition (M = $9.52, SD = $4.48, Mdn = $7.50; t(99) = 3.43, p &lt; .001, partial eta-squared = .11).</t>
  </si>
  <si>
    <t>https://osf.io/8aus5/?view_only=1a2cfb0d105440c589e2e0a05cba31f0</t>
  </si>
  <si>
    <t>t(99) = 3.43, p &lt; 0.001, partial eta-squared = 0.11</t>
  </si>
  <si>
    <t>page 727</t>
  </si>
  <si>
    <t>osf.io/cwj6v</t>
  </si>
  <si>
    <t>Political Polarization and the Size of Government</t>
  </si>
  <si>
    <t>LINDQVIST_AmPoliSciRev_2010_OeGv</t>
  </si>
  <si>
    <t>Political polarization has a negative ... relationship with government consumption ... results depend entirely on the level of democratic development. When the sample is restricted to strong democracies ... (p. 549)</t>
  </si>
  <si>
    <t>Political polarization is strongly associated with smaller government in democratic countries, but there is no relationship between polarization and the size of government in undemocratic countries.</t>
  </si>
  <si>
    <t>You should disregard geographic, colonial variables and the potentially endogenous set of variables such as GDP per capita, openness to trade, federal political structure, OECD membership, and demographic measures (but include mean responses as a control) in your analysis.
You should use the standard deviation of the responses to the GOV Economic Policy Question for quantifying political polarization. 
You should use the general government consumption as a fraction of total consumption for measuring public spending.</t>
  </si>
  <si>
    <t>When the sample is restricted to strong democracies, the estimated effect of polarization on government consumption is statistically significant (coefficient in the 'long' specification for the "Private" measure of polarization = -18.73, heteroscedasticity robust SE = 4.79, p = .01).</t>
  </si>
  <si>
    <t>https://osf.io/cah3f/?view_only=8b958c4f12184a3c83de406ec26e8a05</t>
  </si>
  <si>
    <t>coefficient in the 'long' specification for the "Private" measure of polarization = -18.73, heteroscedasticity robust SE = 4.79, p = 0.01</t>
  </si>
  <si>
    <t>page 551</t>
  </si>
  <si>
    <t>osf.io/93zea</t>
  </si>
  <si>
    <t>Time to Kill: The Impact of Election Timing on Postconflict Stability</t>
  </si>
  <si>
    <t>Brancati_JournConflictRes_2013_V0PA</t>
  </si>
  <si>
    <t>... holding elections soon after a civil war ends ... increases the likelihood of renewed fighting ...(p. 822.)</t>
  </si>
  <si>
    <t>In this study, we argue that holding elections soon after a civil war ends generally increases the likelihood of renewed fighting, but that favorable conditions, including decisive victories, demobilization, peacekeeping, power sharing, and strong political, administrative and judicial institutions, can mitigate this risk.</t>
  </si>
  <si>
    <t>You should not control for first postconflict election level, war duration, death, displaced, GDP/capita.
You should control for: country’s score on the Polity IV index, post-cold war era, victory, UN intervention, UN assistance, previous civil war, PR system, mixed system, unitary executive system, decentralization. You should disregard the interaction between the control variables and the timing. 
You should report the effect of postconflict national election timing (instead of postconflict election timing).</t>
  </si>
  <si>
    <t>...The effect is much stronger, however, if the authors restrict their analysis to only national elections as they do in Table 2, with national elections being held later significantly reducing the probability of a new war breaking out over the ones held earlier. In model 8, for example, the probability of a new war decreases by about 0.09 points (or 31 percent) if national elections occur five years after a civil war ended rather than one year after a war ended, holding all other variables constant at their means (from column (8) in Table 2, 'Election timing' term: estimate = -0.01; SE = 0.005; p &lt; .05).</t>
  </si>
  <si>
    <t>https://osf.io/9jzrb/?view_only=c673179c43a0451f8a75440470359986</t>
  </si>
  <si>
    <t>Election timing' term: estimate = -0.01, SE = 0.005, p &lt; 0.05</t>
  </si>
  <si>
    <t>page 839</t>
  </si>
  <si>
    <t>osf.io/j4t9q</t>
  </si>
  <si>
    <t>Targeting Nuclear Programs in War and Peace: A Quantitative Empirical Analysis,1941–2000</t>
  </si>
  <si>
    <t>Fuhrmann_JournConflictRes_2010_8Wy0</t>
  </si>
  <si>
    <t>[prior violent militarized conflict] increase[s] the salience of the proliferation threat ... (p. 831.)</t>
  </si>
  <si>
    <t>Three factors increase the salience of the proliferation threat: (1) prior violent militarized conflict; (2) the presence of a highly autocratic proliferator; and (3) divergent foreign policy interests. The authors test these propositions using statistical analysis and a new data set on all instances when countries have struck or seriously considered striking other states’ nuclear infrastructure between 1941 and 2000.</t>
  </si>
  <si>
    <t>You should control for Target’s polity, Foreign policy similarity, Target’s power, power ratio, Article 56, Post–cold war, Program years, Nuclear assistance, Attacker's power, Contiguity, No of attack years  [the number of years that pass in between attacks]
You should not control for: No of considered years [the number of years that pass in between considered attacks]
Your analysis' time frame should be 1941–2000.</t>
  </si>
  <si>
    <t>Violent conflict is statistically and negatively related to attacks (from Model 5 in Table 4, 'Violent conflict' term: estimate = 2.845; robust SE = 1.006; significant at 1 percent).</t>
  </si>
  <si>
    <t>https://osf.io/entyx/?view_only=5f6269a75ac24dd1bac7ee528dee6e7d</t>
  </si>
  <si>
    <t>Violent conflict' term: estimate = 2.845, robust SE = 1.006, significant at 1 percent</t>
  </si>
  <si>
    <t>page 846</t>
  </si>
  <si>
    <t>osf.io/y2ua3</t>
  </si>
  <si>
    <t>Bargaining, Nuclear Proliferation, and Interstate Disputes</t>
  </si>
  <si>
    <t>Gartzke_JournConflictRes_2009_rym8</t>
  </si>
  <si>
    <t>Nuclear-capable states are more likely to be recognized by ... other nations. (p. 222.)</t>
  </si>
  <si>
    <t>Instrumenting for the decision to proliferate, the authors find that nuclear weapons increase diplomatic status without much affecting whether states fight.</t>
  </si>
  <si>
    <t>You should use diplomatic recognition as a dichotomous variable in your analysis.</t>
  </si>
  <si>
    <t>Nuclear-capable states are more likely to be recognized by other nations (Coefficient on Nuclear Weapons A term = 0.168 [0.1%]; SE = 0.033).</t>
  </si>
  <si>
    <t>https://osf.io/5xdq3/?view_only=acceb336a2fa4eb3909e8b5e6122b5e3</t>
  </si>
  <si>
    <t>coefficient for Nuclear Weapons A = 0.168 [0.1%], SE = 0.033</t>
  </si>
  <si>
    <t>5,03998</t>
  </si>
  <si>
    <t>page 223</t>
  </si>
  <si>
    <t>osf.io/fdz6n</t>
  </si>
  <si>
    <t>Explaining Explanations: How Legislators Explaintheir Policy Positions and How Citizens React</t>
  </si>
  <si>
    <t>Grose_AmJourPoliSci_2015_E0Q3</t>
  </si>
  <si>
    <t>We find that ... senators tailor their explanations to their audiences ... (p. 724)</t>
  </si>
  <si>
    <t>We find that most senators tailor their explanations to their audiences...</t>
  </si>
  <si>
    <t>You should report the difference in the mention of pro-immigration actions in pro-immigration letters compared to anti-immigration letters.</t>
  </si>
  <si>
    <t>Supporting the authors' argument, senators appear to have strategically changed whether they mentioned pro-immigration actions in their explanations depending on the constituents' position. When receiving a pro-immigration letter from a constituent, 23.2% of letters mentioned reinforcing or compensating pro-immigration actions. This was nearly double the 12.5% of letters that mentioned pro-immigration actions in response to anti-immigration letters (p = 0.07 [two-tailed], based on the exact McNemar significance probability).</t>
  </si>
  <si>
    <t>https://osf.io/8aj9x/?view_only=07febbbc36734ef7a5096c448d3d03de</t>
  </si>
  <si>
    <t>p = 0.07 [two-tailed], based on the exact McNemar significance probability</t>
  </si>
  <si>
    <t>chisquare</t>
  </si>
  <si>
    <t>4,50000</t>
  </si>
  <si>
    <t>page 731</t>
  </si>
  <si>
    <t>osf.io/4pyua</t>
  </si>
  <si>
    <t>Gender Differences in Political Knowledge: Bringing Situation Back In</t>
  </si>
  <si>
    <t>Ihme_JournExpPoliSci_2018_xYbO</t>
  </si>
  <si>
    <t>... female participants in the first [stereotype not activated condition] did ... better than those [female participants] in the third [stereotype activated by gender difference statement] condition [on political knowledge test] (p. 47.)</t>
  </si>
  <si>
    <t>...the activation of gender stereotypes aﬀects performance on a political knowledge test.</t>
  </si>
  <si>
    <t>You should disregard the field of study in your analysis.</t>
  </si>
  <si>
    <r>
      <rPr>
        <sz val="10"/>
        <color theme="1"/>
        <rFont val="Calibri"/>
      </rPr>
      <t xml:space="preserve">Controlling for political interest, the interaction of stereotype activation and gender (F(2,364) = 6.17, p = 0.002, η² = 0.03) was signiﬁcant.
The gender gap emerged in the second (a stereotype activated by a gender question; t = 3.07, df = 117, p = 0.003, d = 0.57) condition
</t>
    </r>
    <r>
      <rPr>
        <sz val="10"/>
        <color theme="1"/>
        <rFont val="Calibri"/>
      </rPr>
      <t xml:space="preserve">
... female participants in the first did significantly better than those in the third condition (t = 2.46, df = 141, p = 0.01, d = 0.41).</t>
    </r>
  </si>
  <si>
    <t>https://osf.io/53zr4/?view_only=23266f8b78cb47a98c8bc724fa0e4e7b</t>
  </si>
  <si>
    <t>F(2,364) = 6.17, p = 0.002, η² = 0.03</t>
  </si>
  <si>
    <t>not neccessary as Cohen's is already calculated by the authors</t>
  </si>
  <si>
    <t>page 47</t>
  </si>
  <si>
    <t>osf.io/rmv32</t>
  </si>
  <si>
    <t>Making Bureaucracy Work: Patronage Networks, Performance Incentives, and Economic Development in China</t>
  </si>
  <si>
    <t>Jiang_AmJourPoliSci_2018_Rjp9</t>
  </si>
  <si>
    <r>
      <rPr>
        <sz val="10"/>
        <color theme="1"/>
        <rFont val="Calibri"/>
      </rPr>
      <t xml:space="preserve">... city leaders with informal ties to the incumbent provincial leaders deliver </t>
    </r>
    <r>
      <rPr>
        <i/>
        <sz val="10"/>
        <color theme="1"/>
        <rFont val="Calibri"/>
      </rPr>
      <t xml:space="preserve">... </t>
    </r>
    <r>
      <rPr>
        <sz val="10"/>
        <color theme="1"/>
        <rFont val="Calibri"/>
      </rPr>
      <t>faster economic growth than those without. (p. 982.)</t>
    </r>
  </si>
  <si>
    <t>Using an original city–level panel data set between 2000 and 2011, and a new method that identifies patronage ties based on past promotions, I show that city leaders with informal ties to the incumbent provincial leaders deliver significantly faster economic growth than those without.</t>
  </si>
  <si>
    <t>You should calculate overall GDP growth rate (at t+2) instead of sector-specific GDP growth rate. 
You should control for city economic and city leader variables.</t>
  </si>
  <si>
    <t>The results show that political connection with the incumbent provincial secretary has a large, positive, and statistically significant effect on local economic growth. Focusing on Model 3, the coefficient estimate (0.382, robust SE clustered at city level = 0.126, p &lt; .01 [two-tailed]) suggests that, all else equal, the growth rates in connected cities are about 0.38 percentage points (or 10% of a standard deviation) higher than in unconnected cities.</t>
  </si>
  <si>
    <t>https://osf.io/eafs2/?view_only=accf9c2a6e9c473aa75ff51b96d2f19d</t>
  </si>
  <si>
    <t>Connected to provincial secretary: estimate = 0.382, robust SE clustered at city level = 0.126, p &lt; 0.01 [two-tailed]</t>
  </si>
  <si>
    <t>page 991</t>
  </si>
  <si>
    <t>osf.io/8w4se</t>
  </si>
  <si>
    <t>Measuring the Cost of Privacy: A Look at the Distributional Effects of Private Bargaining</t>
  </si>
  <si>
    <t>Kucik_BritJournPoliSci_2016_L22B</t>
  </si>
  <si>
    <t>Looking at product-level trade flows from all disputes between 1995 and 2011, it finds that private (early) settlements lead to discriminatory trade outcomes – complainant countries gain ... more than the rest of the membership. (p. 861.)</t>
  </si>
  <si>
    <t>Looking at product-level trade flows from all disputes between 1995 and 2011, it finds that private (early) settlements lead to discriminatory trade outcomes – complainant countries gain disproportionately more than the rest of the membership.</t>
  </si>
  <si>
    <t>You should disregard the impact of third-party participants in your analysis.</t>
  </si>
  <si>
    <t>In Model 2, complainants enjoy a clear benefit in cases that settle early when their trade flows are compared to the rest of the membership. This advantage is statistically significant at the 0.05 level, and it is substantively large: complainants receive a 68 per cent larger volume of post-dispute imports than the other members, on average (coefficient on Complainant (j,d) term = 0.430, clustered SE = 0.180, p &lt; 0.05).</t>
  </si>
  <si>
    <t>https://osf.io/sb9vk/?view_only=0e425c00ffe54947bc722e8efb0210c5</t>
  </si>
  <si>
    <t>coefficient on Complainant (j,d) term = 0.430, clustered SE = 0.180, p &lt; 0.05</t>
  </si>
  <si>
    <t>2,39319</t>
  </si>
  <si>
    <t>page 878</t>
  </si>
  <si>
    <t>osf.io/we2zx</t>
  </si>
  <si>
    <t>Compensation or Constraint? How Different Dimensions of Economic Globalization Affect Government Spending and Electoral Turnout</t>
  </si>
  <si>
    <t>Marshall_BritJournPoliSci_2015_GOYb</t>
  </si>
  <si>
    <t>the study finds ... support for the ownership-constraint hypothesis in which foreign ownership reduces turnout ... (p. 353.)</t>
  </si>
  <si>
    <t>Using data from twenty-three OECD countries from 1970–2007, the study finds strong support for the ownership-constraint hypothesis in which foreign ownership reduces turnout, both directly and – in strict opposition to the compensation hypothesis – indirectly by reducing government spending (and thus the importance of politics).</t>
  </si>
  <si>
    <t>In your analysis, you should use the data from all the OECD countries listed in the dataset.</t>
  </si>
  <si>
    <t>The Ownership Scale is negative and highly significant (coefficient on Ownership Scale term = -3.519, country-clustered robust SE = 0.938, p &lt; 0.01).</t>
  </si>
  <si>
    <t>https://osf.io/f3hd9/?view_only=a4730e1e111c43999776210149794282</t>
  </si>
  <si>
    <t>coefficient on Ownership Scale term = -3.519, country-clustered robust SE = 0.938, p &lt; 0.01</t>
  </si>
  <si>
    <t>-3,75326</t>
  </si>
  <si>
    <t>page 373</t>
  </si>
  <si>
    <t>osf.io/qfm2g</t>
  </si>
  <si>
    <t>The Effects of Structures and Power on State Bargaining Strategies</t>
  </si>
  <si>
    <t>McKibben_AmJourPoliSci_2013_P8az</t>
  </si>
  <si>
    <t>no</t>
  </si>
  <si>
    <t>The more differently valued are the issues over which states are bargaining, the more likely they are to offer concessions (p. 415.)</t>
  </si>
  <si>
    <t>The results show that structural factors best explain variation in the EU states’ bargaining strategies.</t>
  </si>
  <si>
    <t>You should use the GDP as a control instead of the voting power index.</t>
  </si>
  <si>
    <t>Consistent with Hypothesis S1, negotiating over issues that are more differently valued by states with opposing interests exerts a positive and statistically significant effect on states’ bargaining strategies (coefficient on issue-linkage structure when cooperative strategy is 0 = 1.219, SE clustered by bargaining phase = 0.192, p &lt; .05).</t>
  </si>
  <si>
    <t>https://osf.io/2msnc/?view_only=e52bdf1e404046ddbb5d0f0088edad8f</t>
  </si>
  <si>
    <t>coefficient on issue-linkage structure when cooperative strategy is 0 = 1.219, SE clustered by bargaining phase = 0.192, p &lt; 0.05</t>
  </si>
  <si>
    <t>6,34508</t>
  </si>
  <si>
    <t>page 422</t>
  </si>
  <si>
    <t>osf.io/9qfdp</t>
  </si>
  <si>
    <t>Diversion and Political Survival in Latin America</t>
  </si>
  <si>
    <t>Miller_JournConflictRes_2011_zV1O</t>
  </si>
  <si>
    <t>As threats to political survival increase, the likelihood of conflict involvement increases. (p. 199.)</t>
  </si>
  <si>
    <t>Our analysis of data from Latin America during the period 1960-99 reveals robust evidence in support of diversionary theory.</t>
  </si>
  <si>
    <t>You should use Dispute (whether a country initiated a militarized interstate dispute, in a given year) as a dependent variable instead of Force (that represents initiation of a MID that includes the use of armed force).
You should not use the logarithmic value of the number of coup events in your analysis.</t>
  </si>
  <si>
    <t>In Table 3, the endogenous measure of the diversionary motivation — coup risk — is positive and statistically significant using the Maddala-corrected standard error (Coefficient = 2.96; Maddala Procedure SE = 1.51; p value = .051; significant at p ≤ .10 using a two-tailed test).</t>
  </si>
  <si>
    <t>https://osf.io/9zamr/?view_only=fdbd5826569248f5b7de46e2182d9bdc</t>
  </si>
  <si>
    <t>Coup risk: Coefficient = 2.96, Maddala Procedure SE = 1.51, p value = 0.051; significant at p ≤ 0.10 using a two-tailed test</t>
  </si>
  <si>
    <t>1,95562</t>
  </si>
  <si>
    <t>page 205</t>
  </si>
  <si>
    <t>osf.io/pzfjq</t>
  </si>
  <si>
    <t>Displacing Misinformation about Events: An Experimental Test of Causal Corrections</t>
  </si>
  <si>
    <t>Nyhan_JournExpPoliSci_2015_DEqr</t>
  </si>
  <si>
    <t>... an alternate causal explanation for why the politician resigned is ... more effective in limiting acceptance of misperceptions [than providing evidence against the innuendo] ... (p. 83.)</t>
  </si>
  <si>
    <t>[We] ﬁnd that a causal explanation for an unexplained event is signiﬁcantly more effective than a denial even when the denial is backed by unusually strong evidence.</t>
  </si>
  <si>
    <t>You should use the investigation belief as measure of acceptance of misperception in your analysis.
You should use the IPW data in your analysis.</t>
  </si>
  <si>
    <t>The coefficient on the denial indicator is -0.25 (SE=0.07), and the coefficient on the causal correction indicator is -0.58 (SE=0.07). The difference in coefficients is -0.34 with a p-value less than 0.01.</t>
  </si>
  <si>
    <t>https://osf.io/cmjxw/?view_only=c54a3d86c316466088f8d0d68372075f</t>
  </si>
  <si>
    <t>Denial: estimate = -0.25, SE = 0.07; Causal correction: estimate = -0.58, SE = 0.07; Difference in coefficients = -0.34, p-value &lt; 0.01</t>
  </si>
  <si>
    <t>page 87</t>
  </si>
  <si>
    <t>osf.io/897h4</t>
  </si>
  <si>
    <t>Communism, Federalism, and ethnic minorities: Explaining Party Competition Patterns in eastern europe</t>
  </si>
  <si>
    <t>Rovny_WorldPolitics_2014_AQgj</t>
  </si>
  <si>
    <t>ethnic minorities originating from a federal center tend to be ... more left- leaning than the ethnic majorities in their countries (p. 687)</t>
  </si>
  <si>
    <t>Recent empirical evidence, however, uncovers significant variance of party competition patterns across East European countries. To explain this variance, this article argues that an interaction between communist institutional framework and partisan responses to ethnic minorities determines party competition structure in the region.</t>
  </si>
  <si>
    <t>You should use the left-right dimension for the measurement of political preference.</t>
  </si>
  <si>
    <t>The table demonstrates that ethnic minorities originating from a federal center tend to be significantly more left-leaning than the ethnic majorities in their countries (coefficient on Minority from Federal Center term in model 1 = –1.179, cluster-corrected SE = 0.100, p &lt; 0.01).</t>
  </si>
  <si>
    <t>https://osf.io/3ypmb/?view_only=32e5fa393e44442b997bee188318394c</t>
  </si>
  <si>
    <t>coefficient on Minority from Federal Center term in model 1 = –1.179, cluster-corrected SE = 0.100, p &lt; 0.01</t>
  </si>
  <si>
    <t>page 689</t>
  </si>
  <si>
    <t>osf.io/2krj9</t>
  </si>
  <si>
    <t>Diffusion of Diaspora Enfranchisement Norms: A Multinational Study</t>
  </si>
  <si>
    <t>Turcu_CompPolitStu_2015_YeQg</t>
  </si>
  <si>
    <t>... countries are more likely to extend the franchise to their expatriate citizens in the wake of their neighbors’ decisions to do likewise. (p. 416.)</t>
  </si>
  <si>
    <t>We use large-N cross-national hazard models to examine whether a similar pattern holds for diaspora enfranchisement and find that neighbors’ recent enactment of overseas voting nearly doubles the chance that a country will enfranchise its own diaspora.</t>
  </si>
  <si>
    <t>You should control for: having been in the British/French/Spanish empire, having English legal heritage, GDP, population, and years since regime change. 
You should not control for: whether the country was in the Soviet Union or the communist-controlled states of Central and Eastern Europe. You should not include backsliding countries.</t>
  </si>
  <si>
    <t>In column III of Table 1, having a neighbor who recently instituted voting for non-resident citizens associates with a substantial increase in the likelihood of expanding voting (estimate for 'Recent nearby franchise extension' term = 1.86; t statistic, based on SE clustered by country = 2.92; p &lt; .01 [two-tailed]).</t>
  </si>
  <si>
    <t>https://osf.io/u7nxt/?view_only=0f7bf229eedb435ca99c444b63514694</t>
  </si>
  <si>
    <t>estimate for 'Recent nearby franchise extension' term = 1.86, t statistic, based on SE clustered by country = 2.92, p &lt; 0.01 [two-tailed]</t>
  </si>
  <si>
    <t xml:space="preserve">  5 988 </t>
  </si>
  <si>
    <t>page 420</t>
  </si>
  <si>
    <t>osf.io/fmnx4</t>
  </si>
  <si>
    <t>Policy (Mis) Representation and the Cost of Ruling: U.S. Presidential Elections in Comparative Perspective</t>
  </si>
  <si>
    <t>Wlezien_CompPolitStu_2017_ByBk</t>
  </si>
  <si>
    <t>producing ... [more (or fewer)] laws [that are liberal] ... than we would predict during a presidential term based on the public’s policy mood, costs [votes] the president’s party … on Election Day (pp. 729-730.)</t>
  </si>
  <si>
    <t>That is, the policy liberalism of presidents from different parties diverges over time as their tenure in the White House increases, and the degree to which it does matters for the presidential vote.</t>
  </si>
  <si>
    <t>You should conduct your analysis for the data between 1952 and 2012 without the exclusion of any election year.
You should not control for the absolute value of mean-centered mood and party tenure.
You should cumulate the policy misrepresentation based on the policy mood at the beginning of each term.</t>
  </si>
  <si>
    <t>The coefficient (−0.29; SE = 0.07; p &lt; .01 (two-tailed)) for the variable implies that producing four laws more (less) than we would predict during a presidential term based on the public’s policy mood costs the president’s party about 1% on Election Day.</t>
  </si>
  <si>
    <t>https://osf.io/frjxy/?view_only=efd3b9ff818a46948ed766f21e151798</t>
  </si>
  <si>
    <t>policy misrepresentation (above/below predicted): estimate = −0.29, SE = 0.07, p &lt; 0.01 (two-tailed)</t>
  </si>
  <si>
    <t>page 728</t>
  </si>
  <si>
    <t>osf.io/4nwu7</t>
  </si>
  <si>
    <t>Unpacking Territorial Disputes: Domestic Political Influences and War</t>
  </si>
  <si>
    <t>Alves_PsychologSci_2018_AvOr</t>
  </si>
  <si>
    <t>Participants preferred the first group over the novel group as long as the groups’ unique attributes were negative. (p. 1126.)</t>
  </si>
  <si>
    <t>Participants preferred the first group over the novel group as long as the groups’ unique attributes were negative</t>
  </si>
  <si>
    <t>You should use the dataset for Experiment 1.</t>
  </si>
  <si>
    <t>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
  </si>
  <si>
    <t>https://osf.io/2uwdz/?view_only=49923ceff1ac4a4bb46dff76dfa19d8e</t>
  </si>
  <si>
    <t>chi squared(1, N = 210) = 12.02, p &lt; 0.001; ϕ = −0.24</t>
  </si>
  <si>
    <t>chi square</t>
  </si>
  <si>
    <t>page 1129</t>
  </si>
  <si>
    <t>osf.io/zc82a</t>
  </si>
  <si>
    <t xml:space="preserve">Simultaneous ingroup and outgroup favoritism in implicit social cognition </t>
  </si>
  <si>
    <t>Axt_JournExpSocPsych_2018_zK2</t>
  </si>
  <si>
    <t>On indirect measures focusing on positive valence, members of non-dominant racial groups showed ingroup favoritism. (p. 275.)</t>
  </si>
  <si>
    <t>On indirect measures focusing on positive valence, members of non-dominant racial groups showed ingroup favoritism.</t>
  </si>
  <si>
    <t>You should use the dataset for Study 1.
You should use the black participant subsample as your non-dominant racial group in your analysis.</t>
  </si>
  <si>
    <t>MC-IAT White-Black associations among black participants: good N = 856, bad N = 751, Good-focal = −0.12 (0.60), Bad-focal = 0.16 (0.64), t = 9.01, p &lt; .001, d [95% CI] = 0.45 [0.35, 0.55]</t>
  </si>
  <si>
    <t>https://osf.io/snjqw/?view_only=8db89c70f66842f5addd9f01feb412d1</t>
  </si>
  <si>
    <t>t = 9.01, p &lt; 0.001, d [95% CI] = 0.45 [0.35, 0.55]</t>
  </si>
  <si>
    <t xml:space="preserve">page 279
corrected: 280
</t>
  </si>
  <si>
    <t>osf.io/w9748</t>
  </si>
  <si>
    <t>Parents’ Perceived Discrimination and Adolescent Adjustment in Chinese American Families: Mediating Family Processes</t>
  </si>
  <si>
    <t>Hou_ChildDev_2017_YOXl</t>
  </si>
  <si>
    <t>approximately reproduced -- p-value was slightly different, though likely just misreported in the original article</t>
  </si>
  <si>
    <t>A[n] ... indirect effect (was shown) from earlier paternal (but not maternal) perceived discrimination to later adolescent adjustment through paternal depressive symptoms and maternal hostility toward adolescents (p. 317.)</t>
  </si>
  <si>
    <t>Testing of actor–partner interdependent models showed a significant indirect effect from earlier paternal (but not maternal) perceived discrimination to later adolescent adjustment through paternal depressive symptoms and maternal hostility toward adolescents</t>
  </si>
  <si>
    <t>You should use depressive symptoms instead of delinquent behaviours as a measure of later adolescent adjustment.</t>
  </si>
  <si>
    <t>Among all potential indirect pathways from Wave 1 parental perceived discrimination to Wave 2 adolescent outcomes in the conceptual model were tested, only one significant indirect pathway was ident-fied: Wave 1 paternal perceived discrimination to Wave 1 paternal depressive symptoms to Wave 2 maternal hostility toward children to Wave 2 adolescent depressive symptoms, beta = .015, SE = .007, p = .032, 95% CI [.003, .026]</t>
  </si>
  <si>
    <t>https://osf.io/hw3p4/?view_only=db05a8b5dc674e5185329ed139f47551</t>
  </si>
  <si>
    <t>p = 0.032, 95% CI [0.003, 0.026]</t>
  </si>
  <si>
    <t>Z</t>
  </si>
  <si>
    <t>page 324</t>
  </si>
  <si>
    <t>osf.io/q9jn6</t>
  </si>
  <si>
    <t>What Counts as a Choice? U.S. Americans Are More Likely Than Indians to Construe Actions as Choices</t>
  </si>
  <si>
    <t>Savani_PsychologSci_2010_88xa</t>
  </si>
  <si>
    <t>approximately reproduced -- small differences in test statistic and degrees of freedom</t>
  </si>
  <si>
    <t>We found that people in U.S. American contexts ... are more likely than those in Indian contexts to construe … other individuals’ behaviors as choices (p. 391.)</t>
  </si>
  <si>
    <t>[W]e found that people in U.S. American contexts, where the disjoint model of agency is prevalent, are more likely than those in Indian contexts to construe … other individuals’ behaviors as choices</t>
  </si>
  <si>
    <t>You should use the Study 3 dataset in your analysis.</t>
  </si>
  <si>
    <t>In Study 3, there was an interaction between culture (Indian, American) and condition (construal-of-choice vs. control task) in how often participants pressed the response button, F(1, 120) = 5.69, p &lt; .02, p_rep = .96</t>
  </si>
  <si>
    <t>https://osf.io/5svmz/?view_only=fbc36a2c4a7b4f5caa43f54ac3874914</t>
  </si>
  <si>
    <t xml:space="preserve">t(32)  = 4.25, p  &lt;  .001, prep  &gt;  .99, d  =  1.03 </t>
  </si>
  <si>
    <t>page 394</t>
  </si>
  <si>
    <t>osf.io/49v3h</t>
  </si>
  <si>
    <t>Being Observed Magnifies Action</t>
  </si>
  <si>
    <t>Steinmetz_JournPerSocPsy_2016_E4Am</t>
  </si>
  <si>
    <t>... participants who were observed while eating ... recalled eating a larger portion than unobserved participants (p. 852.)</t>
  </si>
  <si>
    <t>We find that participants who were observed while eating (Study 1) or learned they were observed after eating (Study 2) recalled eating a larger portion than unobserved participants</t>
  </si>
  <si>
    <t>You should use the Study 1 dataset in your analysis.</t>
  </si>
  <si>
    <t>In support of the hypothesis, participants felt that the food portion they had eaten was larger when they were observed by a camera while eating (Mcamera = 4.85, SD = 1.94; Mcontrol = 4.00, SD = 1.53), t(80) = 2.20, p = .030, 95% CI [0.082, 1.610], _x0004_eta squared =_x0002_.057.</t>
  </si>
  <si>
    <t>https://osf.io/zctg7/?view_only=938e6cfa596a4ca2a84ec0f372feff94</t>
  </si>
  <si>
    <t>t(80) = 2.20, p = 0.030, 95% CI [0.082, 1.610], eta squared = 0.057</t>
  </si>
  <si>
    <t>page 855</t>
  </si>
  <si>
    <t>osf.io/a6s2z</t>
  </si>
  <si>
    <t>Narrowing down to open up for other people's concerns: Empathic concern can be enhanced by inducing detailed processing</t>
  </si>
  <si>
    <t>Woltin_JournExpSocPsych_2011_Wre</t>
  </si>
  <si>
    <t>...using ... social manipulations, we found that empathic concerns are enhanced in contexts associated with a more detailed processing style [versus abstract processing style]. (p. 418.)</t>
  </si>
  <si>
    <t>In three experiments inducing a detailed versus abstract processing style using perceptual (Experiment 1),motivational (Experiment 2), and social (Experiment 3) manipulations, we found that empathic concerns are enhanced in contexts associated with a more detailed processing style (i.e., local perceptual scope, prevention motivation, and low power, respectively)</t>
  </si>
  <si>
    <t>You should use the experiment 3 dataset in your analysis.
You should use the world-completion task instead of situational recall task as means of priming in your analysis.</t>
  </si>
  <si>
    <t>An ANOVA revealed that power priming influenced participants' empathic concern, F(1,34) = 5.76, p = .022, partial eta squared = .15</t>
  </si>
  <si>
    <t>https://osf.io/b849q/?view_only=344f7344bd77441a9acc9151904d943a</t>
  </si>
  <si>
    <t>F(1,34) = 5.76, p = 0.022, partial eta squared = 0.15</t>
  </si>
  <si>
    <t>page 421</t>
  </si>
  <si>
    <t>osf.io/5qdpv</t>
  </si>
  <si>
    <t>The role of valence weighting in impulse control</t>
  </si>
  <si>
    <t>Zunick_JournExpSocPsych_2017_zlw</t>
  </si>
  <si>
    <t>For these participants [low in trait self-control], the more positive their weighting bias, the more likely they were to act on their impulse to give up when frustrated. (p. 34.)</t>
  </si>
  <si>
    <t>people who tend to overweight positive valence should likewise overweight impulses, which are essentially urges to achieve positively-valued outcomes, in their initial appraisals of self-control situations, leading to a greater likelihood of impulse control failure</t>
  </si>
  <si>
    <t>You should use the dataset for Study 1.</t>
  </si>
  <si>
    <t>a signiﬁcantinteraction between weighting bias and trait self-control, β = − 0.26(95% CI: − 0.48, − 0.05), t(68) = − 2.46, p = 0.02</t>
  </si>
  <si>
    <t>https://osf.io/yugef/?view_only=5e161941572c4d44a569385a9bbd8131</t>
  </si>
  <si>
    <t>β = − 0.26 (95% CI: − 0.48, − 0.05), t(68) = − 2.46, p = 0.02</t>
  </si>
  <si>
    <t>page 34</t>
  </si>
  <si>
    <t>osf.io/qfngm</t>
  </si>
  <si>
    <t>Subjective Well-being and Partnership Dynamics: Are Same-Sex Relationships Different?</t>
  </si>
  <si>
    <t>Chen_Demography_2018_yAPR</t>
  </si>
  <si>
    <t>sociology</t>
  </si>
  <si>
    <t>Well-being gains of marriage are larger than those of cohabitation. (p. 2299.)</t>
  </si>
  <si>
    <t>Well-being gains of marriage are larger than those of cohabitation.</t>
  </si>
  <si>
    <t>You should use the one dataset in your analysis.
You should restrict your analysis to females instead of analysing the two sexes together.</t>
  </si>
  <si>
    <t>The results are reported in Table 3, Panel d - under the heading “Female" The estimated coefficients for “Marriage" and “Cohabitation" are .39 (SE = .08) and .21 (SE = .07) respectively. The difference is statistically significant, p = .004.</t>
  </si>
  <si>
    <t>https://osf.io/sfmce/?view_only=ddeea3414abc4f3ea43bb8978bd44d3c</t>
  </si>
  <si>
    <t>p = 0.004</t>
  </si>
  <si>
    <t>page 2311</t>
  </si>
  <si>
    <t>osf.io/wabr3</t>
  </si>
  <si>
    <t>Measuring ambiguity attitudes for all (natural) events</t>
  </si>
  <si>
    <t>Baillon_Econometrica_2018_QYNq</t>
  </si>
  <si>
    <t>not evaluated -- number of observations doesn't match paper and variables in code don't match dataset</t>
  </si>
  <si>
    <t>People ... become more insensitive (perceive more ambiguity) [under time pressure]. (p. 1839.)</t>
  </si>
  <si>
    <t>People do not become more ambiguity averse under time pressure but become more insensitive (perceive more ambiguity).</t>
  </si>
  <si>
    <t>You should focus on Part 1 instead of Part 2 of the experiment when conducting your analysis.
You should not control for age, gender, and nationality in your analysis.
You should use the A-INSENSITIVITY INDEXES for the measurement of insensitivity in your analysis.</t>
  </si>
  <si>
    <t>...However, there is much more a-insensitivity for the TP questions (Part 1 of TP treatment; from Table V, Model 1, 'Part 1 * TP treatment' term: point estimate = 0.19; SE = 0.09; p &lt; 0.05).</t>
  </si>
  <si>
    <t>https://osf.io/grcbn/?view_only=4aee0ec403734de9bd226194a0f190ae</t>
  </si>
  <si>
    <t>Part 1 * TP treatment' term: point estimate = 0.19, SE = 0.09, p &lt; 0.05</t>
  </si>
  <si>
    <t>page 1848</t>
  </si>
  <si>
    <t>osf.io/c736v</t>
  </si>
  <si>
    <t>Is there selection bias in laboratory experiments? The case of social and risk preferences</t>
  </si>
  <si>
    <t>Cleave_ExpEco_2013_Njqj</t>
  </si>
  <si>
    <t>… people who sent less in a trust game were more likely to participate in a laboratory experiment… (p. 373.)</t>
  </si>
  <si>
    <t>…we also find that people who sent less in a trust game were more likely to participate in a laboratory experiment,…</t>
  </si>
  <si>
    <t>You should analyze the return decision of the second movers in the trust game.</t>
  </si>
  <si>
    <t>a statistical significant association (p &lt; .01) between the amount a player sent and participation in a laboratory experiment. The marginal effect indicates that for every additional $10 sent during the experiment, a student was, in absolute terms, 4.3 percent less likely to select into the lab</t>
  </si>
  <si>
    <t>https://osf.io/br2aq/?view_only=865a8e84907849e688e63ca34fe91f26</t>
  </si>
  <si>
    <t>Amount sent = -0.023, robust SE clustered at the tutor level = 0.009, p &lt; 0.01
marginal effect: Amount sent = -0.0043, robust SE clustered at the tutor level = 0.002, p &lt; 0.01</t>
  </si>
  <si>
    <t>page 378</t>
  </si>
  <si>
    <t>osf.io/xu3k7</t>
  </si>
  <si>
    <t>The Impact of Family Income on Child Achievement: Evidence from the Earned Income Tax Credit</t>
  </si>
  <si>
    <t>Dahl_AmEcoRev_2012_VRKK</t>
  </si>
  <si>
    <t>not evaluated -- not all variables are publicly available</t>
  </si>
  <si>
    <t>a $1,000 increase in income raises combined math and reading test scores ... in the short run. (p. 1927.)</t>
  </si>
  <si>
    <t>Our baseline estimates imply that a $1,000 increase in income raises combined math and reading test scores by 6 percent of a standard deviation in the short run.</t>
  </si>
  <si>
    <t>You should use a single measure for math and reading achievements.
You should disregard the first stage coefficient on instrument and focus on the current income instead in your analysis.
You should disregard Time Trends and Time-Varying State Policies.
You should not divide the sample into subgroups when conducting your analysis.
You should also control for state school accountability and welfare policies.
Furthermore, you should not control for the control function or compute interactions with it.
You should disregard state indicators and NLSY-supplied weights for mothers.
You should not control for mother’s labor-market participation and hours worked.
You should not use the log family income when measuring income.</t>
  </si>
  <si>
    <t>The results in column 1 imply that a $1,000 increase in family income raises math-reading achievement by 6 percent of a standard deviation, a modest effect….[Coefficient for “Current Income” is 0.0610 with standard errors clustered at the family level of 0.0231, significant at the 5 percent level.]</t>
  </si>
  <si>
    <t>https://osf.io/xja7w/?view_only=1fea7a5e06094923864ced208c77aa05</t>
  </si>
  <si>
    <t>Coefficient for “Current Income” = 0.0610, SE clustered at the family level = 0.0231, significant at the 5 percent level</t>
  </si>
  <si>
    <t xml:space="preserve">  8 609 </t>
  </si>
  <si>
    <t>page 1942</t>
  </si>
  <si>
    <t>osf.io/ypru4</t>
  </si>
  <si>
    <t>Contracts as Reference Points—Experimental Evidence</t>
  </si>
  <si>
    <t>Fehr_AmEcoRev_2011_gdlO</t>
  </si>
  <si>
    <t>... under rigid contracts much less shading occurs [than under flexible contracts]. (p. 493.)</t>
  </si>
  <si>
    <t>Flexible contracts—which would dominate rigid contracts under standard assumptions—cause significant shading in ex post performance, while under rigid contracts much less shading occurs.</t>
  </si>
  <si>
    <t>You should disregard bad outcomes of the contracts in you analysis.</t>
  </si>
  <si>
    <r>
      <rPr>
        <sz val="10"/>
        <color theme="1"/>
        <rFont val="Calibri"/>
      </rPr>
      <t xml:space="preserve">Sellers provide normal quality in 94 percent of the cases in which the good state is realized. In flexible contracts, however, the higher prices are not always suffi- cient to prohibit sellers from shading. In the good state sellers provide normal quality in only 75 percent of the cases (see Table 2).
</t>
    </r>
    <r>
      <rPr>
        <sz val="10"/>
        <color theme="1"/>
        <rFont val="Calibri"/>
      </rPr>
      <t xml:space="preserve">The difference in the frequency of shading between the two contract types is statistically significant (nonparametric signed rank test, p-value = 0.031 (one-sided))
</t>
    </r>
    <r>
      <rPr>
        <sz val="10"/>
        <color theme="1"/>
        <rFont val="Calibri"/>
      </rPr>
      <t>This is the comparison of rigid contracts:good outcome (0.94) and flexible contracts:good outcome (0.75).</t>
    </r>
  </si>
  <si>
    <t>https://osf.io/jgvm8/?view_only=fc62ff463b964e538090634560624854</t>
  </si>
  <si>
    <t>p-value = 0.031 (one-sided)</t>
  </si>
  <si>
    <t>page 507</t>
  </si>
  <si>
    <t>osf.io/nk2sp</t>
  </si>
  <si>
    <t>The Spousal Bump: Do Cross-Ethnic Marriages Increase Political Support in Multiethnic Democracies?</t>
  </si>
  <si>
    <t>Adida_CompPolitStu_2016_G0Kb</t>
  </si>
  <si>
    <t>not reproduced</t>
  </si>
  <si>
    <t xml:space="preserve"> ... priming the first lady’s ethnicity increases support for President Yayi among her coethnics. (p. 635.)</t>
  </si>
  <si>
    <t>Our results confirm that priming the first lady’s ethnicity increases support for President Yayi among her coethnics.</t>
  </si>
  <si>
    <t>You should restrict your analysis to Benin-related survey experiment data.</t>
  </si>
  <si>
    <t>Chantal’s coethnics, the Fon, express greater support for Yayi when they receive the Fon Wife Cue, and the effect is statistically significant at the 95% confidence level (from model 1 in Table 2, 'Fon wife' term: OLS estimate = 0.22 (0.08); 99% confidence level).</t>
  </si>
  <si>
    <t>https://osf.io/avj8y/?view_only=978a4c4cd219427c9f529a1128478dc7</t>
  </si>
  <si>
    <t>Fon wife' term: OLS estimate = 0.21 (0.08); 99% confidence level</t>
  </si>
  <si>
    <t>page 647</t>
  </si>
  <si>
    <t>osf.io/7cf6m</t>
  </si>
  <si>
    <t>Does Warfare Matter? Severity, Duration, and Outcomes of Civil Wars</t>
  </si>
  <si>
    <t>Balcells_JournConflictRes_2014_0P4r</t>
  </si>
  <si>
    <t>... irregular conflicts last ... longer than all other types of conflict... (p. 1390.)</t>
  </si>
  <si>
    <t>We find that irregular conflicts last significantly longer than all other types of conflict...</t>
  </si>
  <si>
    <t>You should use the 'Technologies of Rebellion' (TR) instead of the 'Peace Research Institute of Oslo' (PRIO) dataset.
You should control for: Post 1990, rough terrain, population, GDP per capita, oil exporter, ethnic fractionalization, democracy, military personnel, external support for government, external support for rebels, region.</t>
  </si>
  <si>
    <t>The results, in Table 1, show that irregular conflicts last significantly longer than the other two, a result that is very robust to the inclusion of controls (from model 4: estimate for Irregular = 0.87, SE = 0.35, p &lt; .05).</t>
  </si>
  <si>
    <t>https://osf.io/3j72h/?view_only=5b822a6c354940c5a5127c97d2c588fd</t>
  </si>
  <si>
    <t>model 4: estimate for Irregular = 0.87, SE = 0.35, p &lt; 0.05</t>
  </si>
  <si>
    <t>page 1400</t>
  </si>
  <si>
    <t>osf.io/4va7x</t>
  </si>
  <si>
    <t>Keeping the Public Purse: An Experiment in Windfalls, Taxes, and the Incentives to Restrain Government</t>
  </si>
  <si>
    <t>PALER_AmPoliSciRev_2013_Pxp7</t>
  </si>
  <si>
    <t>... tax treatment increased monitoring (p. 706.)</t>
  </si>
  <si>
    <t>The results — from an original survey and postcard campaign — indicate that the tax treatment increased monitoring and anti-incumbent political action.</t>
  </si>
  <si>
    <t>You should focus on budget monitoring instead of government monitoring in your analysis.
You should disregard the effect of information treatment on monitoring willingness.</t>
  </si>
  <si>
    <t>The tax group was five percentage points more willing to monitor the budget than the windfall group. This result is significant at the 99 percent confidence level (tax treatment effect = 0.05, Neyman SE = 0.02, randomization inference p-value = 0.003, false discovery rate q value = 0.011).</t>
  </si>
  <si>
    <t>https://osf.io/dsuwf/?view_only=312c66b60e144d0ea76aca93aeb43fc5</t>
  </si>
  <si>
    <t>Tax treatment effect = 0.05, Neyman SE = 0.02, randomization inference p-value = 0.003, false discovery rate q value = 0.011</t>
  </si>
  <si>
    <t>page 715</t>
  </si>
  <si>
    <t>osf.io/ud8eb</t>
  </si>
  <si>
    <t>Remotely Close Associations: Openness to Experience and Semantic Memory Structure</t>
  </si>
  <si>
    <t>Christensen_EurJournPersonality_2018_8R9d</t>
  </si>
  <si>
    <t>not evaluated -- code did not run</t>
  </si>
  <si>
    <t>...  the high openness to experience group’s network was more interconnected ... than the low openness to experience group (p. 480.)</t>
  </si>
  <si>
    <t>Our results revealed that the high openness to experience group’s network was more interconnected, ﬂexible, and had better local organization of associations than the low openness to experience group</t>
  </si>
  <si>
    <t>In the partial network that you use, the rate of nodes remaining should be 90%.</t>
  </si>
  <si>
    <t>The partial networks of the high openness to experience group had a significantly smaller ASPL across the bootstrapped samples compared with the partial networks of the low openness to experience group. Negative t-statistic denotes the high openness to experience group having lower values than the low openness to experience group. From Table 3, for 90% of nodes remaining (df = 1998), t = -65.69, d = 2.94</t>
  </si>
  <si>
    <t>https://osf.io/6zh34/?view_only=3e5bfed2e1f041dbbb4376e9c0c5f70b</t>
  </si>
  <si>
    <t>t = -65.69, d = 2.94, p &lt; 0.001</t>
  </si>
  <si>
    <t>page 486</t>
  </si>
  <si>
    <t>osf.io/rdkm2</t>
  </si>
  <si>
    <t>Does the EU Economic Crisis Undermine Subjective Europeanization? Assessing the Dynamics of Citizens’ EU Framing between 2004 and 2013</t>
  </si>
  <si>
    <t>Teney_EurSocioRev_2016_qXX2</t>
  </si>
  <si>
    <t>Source Data Reproduction</t>
  </si>
  <si>
    <t>... poor economic performances ... decrease positive dimensions of EU framing. (p. 619.)</t>
  </si>
  <si>
    <t>The results show, first, that poor economic performances increase negative and decrease positive dimensions of EU framing.</t>
  </si>
  <si>
    <t>You should disregard contextual variables related to the EU policies and party EU salience and party EU positions indexes in your analysis.
You should use the positive non-materialist form of EU framing in your analysis. 
You should use the unemployment rate as the measure for poor economic performance in your analysis.</t>
  </si>
  <si>
    <t>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</si>
  <si>
    <t>https://osf.io/whp4b/?view_only=9ff92fcdae304245b673258f23c24688</t>
  </si>
  <si>
    <t>Unempl. rate': estimate = -0.00340, t statistic = -4.03, P &lt; 0.001</t>
  </si>
  <si>
    <t>page 626</t>
  </si>
  <si>
    <t>osf.io/gr8u6</t>
  </si>
  <si>
    <t>Democracy and the Class Struggle</t>
  </si>
  <si>
    <t>Usmani_AmJournSocio_2018_GJe4</t>
  </si>
  <si>
    <t>not evaluated -- dataset could not be opened</t>
  </si>
  <si>
    <t>... the disruptive capacity of non-elites drives democratic gains… (p. 664.)</t>
  </si>
  <si>
    <t>In cross-national regressions, the author finds evidence that the disruptive capacity of non-elites drives democratic gains…</t>
  </si>
  <si>
    <t>You should use the Electoral Democracy metric instead of Polity2 score for democratic gains.
You should account for landlord capacity, social forces, modernization, and inequality-centric variables when estimating the democratic gains.</t>
  </si>
  <si>
    <t>The result was a statistically significant coefficient (long-run multiplier) for the variable “Disruptive Capacity” (Table 4, Model 6): b = 2.812, CI: .69 - 5.08.</t>
  </si>
  <si>
    <t>https://osf.io/gv4mc/?view_only=fe2066d5a3ac4036bae682b721b4f026</t>
  </si>
  <si>
    <t>“Disruptive Capacity”: b = 2.812, CI: [0.69, 5.08]</t>
  </si>
  <si>
    <t>page 686</t>
  </si>
  <si>
    <t>osf.io/vb7p9</t>
  </si>
  <si>
    <t>Religious Economy or Organizational Field? Predicting Bishops’ Votes at the Second Vatican Council</t>
  </si>
  <si>
    <t>Wilde_AmSocioRev_2010_4XLv</t>
  </si>
  <si>
    <t>These characteristics [other crucial characteristics of the social environment within which leaders operate], which we derive from Neo-Institutional Theory (NIT) ... lead them [leaders] to prioritize concerns about their institutions’ legitimacy over the concerns about efficiency ... (p. 586.)</t>
  </si>
  <si>
    <t>These characteristics, which we derive from Neo-Institutional Theory (NIT), shape leaders’ interests and often lead them to prioritize concerns about their institutions’ legitimacy over the concerns about efficiency and growth rational choice theorists assume are predominant</t>
  </si>
  <si>
    <t>You should interpret concerns about their institutions’ legitimacy as ecumenical concerns in your analysis.
You should interpret these concerns as embedded in a field structurated by Protestants.
You should include Neo-Institutional Variables as well as Religious Competition Variables in your analysis.
You should take note of how stability interacts with religious freedom and how it interacts with another established religion in your analysis.</t>
  </si>
  <si>
    <t>A binomial regression predicting bishops’ progressive votes on the First Vote on the Blessed Virgin Mary, with explanatory variables from both religious competition and Neo-institutional theories found a significant positive effect of Structured (by a strong Protestant presence), coefficient = 0.546, p &lt; 0.05</t>
  </si>
  <si>
    <t>https://osf.io/c53qr/?view_only=a92ebf33ba5f44a69a410b1a56d3bad6</t>
  </si>
  <si>
    <t>Structured (by a strong Protestant presence), coefficient = 0.546, SE = 0.237, p &lt; 0.05</t>
  </si>
  <si>
    <t>page 596</t>
  </si>
  <si>
    <t>osf.io/3k2jc</t>
  </si>
  <si>
    <t>Enhancing the Television-Viewing Experience through Commercial Interruptions</t>
  </si>
  <si>
    <t>Nelson_JournConsRes_2009_eg1q</t>
  </si>
  <si>
    <t>Author Data Reproduction</t>
  </si>
  <si>
    <t>... commercial disruption made the program more enjoyable ... (p. 164.)</t>
  </si>
  <si>
    <t>Although people preferred to avoid commercial interruptions, these interruptions actually made programs more enjoyable…regardless of the quality of the commercial</t>
  </si>
  <si>
    <t>You should use the data of the 2nd Study.</t>
  </si>
  <si>
    <t>In study 2, participants who saw the program with a commercial rated it as more enjoyable than those who saw it without the commercial (M = 5.38 vs. 4.47; t(100) = 2.43, p = 0.016)</t>
  </si>
  <si>
    <t>https://osf.io/7vywk/?view_only=2d8677bedca74b808de409122db7d2d9</t>
  </si>
  <si>
    <t>t(100) = 2.43, p = 0.016</t>
  </si>
  <si>
    <t>page 164</t>
  </si>
  <si>
    <t>osf.io/kp9s2</t>
  </si>
  <si>
    <t>How far is your money from your mouth? The effects of intrinsic relative to extrinsic values on willingness to pay and protect the environment</t>
  </si>
  <si>
    <t>Ku_JournEnvPsych_2014_YpZZ</t>
  </si>
  <si>
    <t>approximately reproduced -- some minor differences in the output due to coding errors in the original study</t>
  </si>
  <si>
    <t>the higher endorsement of intrinsic relative to extrinsic values was indeed related to a higher willingness to pay to protect the environment (p. 472.)</t>
  </si>
  <si>
    <t>In both 169 university students (M = 21.11, SD = 1.10) and 347 adults (M = 31.65, SD = 14.48) of Chinese ethnicity, the higher endorsement of intrinsic relative to extrinsic values was indeed related to a higher willingness to pay to protect the environment (Studies 1 and 2)...</t>
  </si>
  <si>
    <t>You should use the dataset for Study 1 in your analysis.</t>
  </si>
  <si>
    <t>As a whole, Hypothesis 2 was supported as the relative intrinsic group obtained a mean score of 4.01 (SD = .71) on the WTP (willingness to pay), which was significantly higher than the relative extrinsic group's mean score of 3.30 (SD = .59), t(79) = 4.87, p &lt; .001, r = .48.</t>
  </si>
  <si>
    <t>https://osf.io/k8tvw/?view_only=b22bd04568574f0fba1dc78d45b83ae3</t>
  </si>
  <si>
    <t>t(79) = 4.87, p &lt; 0.001, r = 0.48</t>
  </si>
  <si>
    <t>page 475</t>
  </si>
  <si>
    <t>osf.io/vcqrm</t>
  </si>
  <si>
    <t>Life history strategies and psychopathology: the faster the life strategies, the more symptoms of psychopathology</t>
  </si>
  <si>
    <t>Hurst_EvoHumanBehavior_2017_yypJ</t>
  </si>
  <si>
    <t>... those with a faster life strategy report greater levels ... of psychopathology (p. 1.)</t>
  </si>
  <si>
    <t>The results from the study indicate those with a faster life strategy report greater levels of aggression and symptoms of psychopathology</t>
  </si>
  <si>
    <t>You should report the Mini-K measure instead of HKSS for life history strategy.</t>
  </si>
  <si>
    <t>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</si>
  <si>
    <t>https://osf.io/vhmgc/?view_only=5c6bedb36b2549a88ac137d6c746bcb8</t>
  </si>
  <si>
    <t>total psychopathology coefficient for Mini-K = -0.51, p &lt; 0.002</t>
  </si>
  <si>
    <t>page 5</t>
  </si>
  <si>
    <t>osf.io/k769h</t>
  </si>
  <si>
    <t>To push or not to push? Affective influences on moral judgment depend on decision frame</t>
  </si>
  <si>
    <t>Pastötter_Cognition_2013_EQxa</t>
  </si>
  <si>
    <t>In the active-frame condition, utilitarian responding was more likely in positive moods than in negative moods (p. 374)</t>
  </si>
  <si>
    <t>Compared to neutral moods, positive moods induced utilitarian responding – i.e., deciding to push – in the active deci-sion frame, but induced non utilitarian responding – i.e., deciding to not push – in the passive decision frame; in negative moods, exactly the opposite picture arose.</t>
  </si>
  <si>
    <t>You should use the dataset for Experiment 1 in your analysis.</t>
  </si>
  <si>
    <t>In an F test on participants’ yes/no answers to the moral dilemma, with factors of mood (positive, negative) and frame (active, passive), affective influences on moral judgment varied with decision frame, F(1, 396) = 29.0, p &lt; .001, partial eta squared = .07</t>
  </si>
  <si>
    <t>https://osf.io/hvfg7/?view_only=a2100fedaf8e4088ad568dec9076bf77</t>
  </si>
  <si>
    <t>F(1, 396) = 29.0, p &lt; 0.001, partial eta squared = 0.07</t>
  </si>
  <si>
    <t>page 374</t>
  </si>
  <si>
    <t>osf.io/d6h3a</t>
  </si>
  <si>
    <t>Asymmetrical Body Perception: A Possible Role for Neural Body Representations</t>
  </si>
  <si>
    <t>Linkenauger_PsychologSci_2009_7WjP</t>
  </si>
  <si>
    <t>When looking at each arm and hand individually, right-handed participants perceived their right arms ... to be longer than their left arms... (p. 1373.)</t>
  </si>
  <si>
    <t>When looking at each arm and hand individually, right-handed participants perceived their right arms and right hands to be longer than their left arms and left hands, whereas left-handed participants perceived both arms accurately</t>
  </si>
  <si>
    <t>An ANOVA of participants’ perceived-to-actual arm length ratios found a significant interaction was found between arm measured and participant handedness, F(1, 28) = 4.74, p_rep = .90, partial eta squared = .15</t>
  </si>
  <si>
    <t>https://osf.io/6hjb9/?view_only=4c11d31582a24fa1b7f578830523d1fb</t>
  </si>
  <si>
    <t>F(1, 28) = 4.74, p_rep = 0.90, partial eta squared = 0.15</t>
  </si>
  <si>
    <t>page 1374</t>
  </si>
  <si>
    <t>osf.io/zjgbt</t>
  </si>
  <si>
    <t>Caste as an Impediment to Trade</t>
  </si>
  <si>
    <t>Anderson_AmEcoJourn_2011_bLe8</t>
  </si>
  <si>
    <t>... [the study] finds substantially higher income for low-caste households residing in villages dominated by BACs [compared to villages dominated by upper caste]. (p. 240.)</t>
  </si>
  <si>
    <t>The key finding is that income is substantially higher for low-caste households residing in villages dominated by a low caste.</t>
  </si>
  <si>
    <t>You should not use District controls, Crop controls, Distance controls, Groundwater controls, Public goods controls
Do not include Irrigation, credit, and tenancy variables, and their interaction term versions
Do not use instruments for water buyer status.</t>
  </si>
  <si>
    <t>The estimation results from Table 3 confirm the robustness of the positive relationship between agricultural income and residing in a low-caste dominated village. [The coefficient for “Low-caste villages” is 566.5 with robust standard errors of 209, significant at the 1 percent level.]</t>
  </si>
  <si>
    <t>https://osf.io/k7xzy/?view_only=c1f2b9aaf05d486c942783efd8ec57ec</t>
  </si>
  <si>
    <t>F(6, 89) = 8.40</t>
  </si>
  <si>
    <t xml:space="preserve">page 248 </t>
  </si>
  <si>
    <t>osf.io/j7etu</t>
  </si>
  <si>
    <t>School Desegregation and Urban Change: Evidence from City Boundaries</t>
  </si>
  <si>
    <t>Platt_Boustan_AmEcoJourn_2012_PVQK</t>
  </si>
  <si>
    <t>approximately reproduced -- outcomes are close but not exact</t>
  </si>
  <si>
    <t>Desegregation of public schools in central cities ... [leads to] urban housing prices and rents to decline ...  relative to neighboring suburbs. (p. 85.)</t>
  </si>
  <si>
    <t>Desegregation of public schools in central cities reduced the demand for urban residence, leading urban housing prices and rents to decline by 6 percent relative to neighboring suburbs.</t>
  </si>
  <si>
    <t>You should calculate the change in the housing values between 1970 and 1980 in your analysis.
You should not control for riot activity in city, share of black on block, the number of rooms on block, 
You should not drop borders with early plans (in 1960). You should not drop borders with plans on both sides
You should not drop Los Angeles borders. You should disregard the number of steps in court order and the number of years since order passed.</t>
  </si>
  <si>
    <t>The difference-in-differences estimator indicates that the suburban price premium increased by an additional 5.8 percentage points in metropolitan areas where the central city was required to desegregate over the 1970s (column 3; 'delta 1970–1980' row: coefficient = -0.058; SE clustered by school district = 0.028; Significant at the 5 percent level.). TABLE5</t>
  </si>
  <si>
    <t>https://osf.io/sz8mu/?view_only=1a1dd479543842f38de39a86eae4a648</t>
  </si>
  <si>
    <t xml:space="preserve">page 95 </t>
  </si>
  <si>
    <t>osf.io/mnbx4</t>
  </si>
  <si>
    <t>‘Acting Wife’: Marriage Market Incentivesand Labor Market Investments</t>
  </si>
  <si>
    <t>Bursztyn_AmEcoRev_2017_VB9K</t>
  </si>
  <si>
    <t>never attempted</t>
  </si>
  <si>
    <t>... single female students reported lower desired salaries ... when they expected their classmates to see their preferences. (p. 3288.)</t>
  </si>
  <si>
    <t>In a field experiment, single female students reported lower desired salaries and willingness to travel and work long hours on a real-stakes placement questionnaire when they expected their classmates to see their preferences.</t>
  </si>
  <si>
    <t>You should use the data of the primary experiment.</t>
  </si>
  <si>
    <t>Table 4 [presents the results looking at the] effect of the public treatment on reported job preference and skills. [Coefficient of “Public treatment” is −18.12 with robust standard error of 8.17, p-value = 0.030.]</t>
  </si>
  <si>
    <t>https://osf.io/5bx9q/?view_only=bff7938ef07645a0a8c83e131f39114f</t>
  </si>
  <si>
    <t xml:space="preserve">page 3306 </t>
  </si>
  <si>
    <t>osf.io/tz2cj</t>
  </si>
  <si>
    <t>Taxation and International Migration of Superstars: Evidence from the European Football Market</t>
  </si>
  <si>
    <t>Kleven_AmEcoRev_2013_Jg9v</t>
  </si>
  <si>
    <t>tax cut to foreigners in Denmark...  changed the ability composition of foreigners in favor of higher-ability players...(p. 1912)</t>
  </si>
  <si>
    <t>We also find evidence of sorting effects (low taxes attract high-ability players who displace low-ability players)...</t>
  </si>
  <si>
    <t>You should focus on the change in top ability itself rather that the change in ability composition in your analysis.</t>
  </si>
  <si>
    <t>As shown in the figure and in Table 1 (panel B2), the implied difference-in-differences elasticity of the number of foreigners with respect to the net-of-tax rate is very large and highly significant for top players, 3.01 (0.78).</t>
  </si>
  <si>
    <t>https://osf.io/hjvm2/?view_only=887d789f05a141cf8a6a30f4dc8125f6</t>
  </si>
  <si>
    <t xml:space="preserve">page 1906 </t>
  </si>
  <si>
    <t>osf.io/qzk3j</t>
  </si>
  <si>
    <t>Social Identity and Preferences</t>
  </si>
  <si>
    <t>Benjamin_AmEcoRev_2010_WaYe</t>
  </si>
  <si>
    <t>When we make ethnic identity salient to Asian-American subjects, they make more patient choices. (p. 1913.)</t>
  </si>
  <si>
    <t>When we make ethnic identity salient to Asian-American subjects, they make more patient choices.</t>
  </si>
  <si>
    <t>You should use the dataset for Experiment I in your analysis.</t>
  </si>
  <si>
    <t>Column 1 [of Table 2] confirms that the interest rate required by Asians to defer payment falls dramatically when Asian ethnic identity is made salient. [Coefficient for “Ethnicity salient” is -1.4165 with Huber-White standard errors clustered by subject of 0.3783, significant at the 1 percent level.]</t>
  </si>
  <si>
    <t>https://osf.io/8xzur/?view_only=cd34533283e24371aa11d08b35addc14</t>
  </si>
  <si>
    <t xml:space="preserve">page 1917 </t>
  </si>
  <si>
    <t>osf.io/cesk7</t>
  </si>
  <si>
    <t>Time horizon and cooperation in continuos time</t>
  </si>
  <si>
    <t>Bigoni_Econometrica_2015_VBx1</t>
  </si>
  <si>
    <t>... short duration treatments, cooperation rates are significantly higher with a deterministic horizon than with a stochastic horizon (p. 587.)</t>
  </si>
  <si>
    <t>We discover a stark qualitative contrast in behavior in continuous time as compared to previously studied behavior in discrete-time games: cooperation is easier to achieve and sustain with deterministic horizons than with stochastic ones, and end-game effects emerge, but subjects postpone them with experience.</t>
  </si>
  <si>
    <t>You should control for individual differences of the participants in your analysis.</t>
  </si>
  <si>
    <t xml:space="preserve">By contrast, in the short duration treatments, cooperation rates are significantly higher with a deterministic horizon than with a stochastic horizon (p-value &lt; 0_x0003_001; see Table III). [coefficient for “Short-Stochastic” is -17.799, se = 3.830. ]
</t>
  </si>
  <si>
    <t>https://osf.io/x8mhf/?view_only=b1f6a50dd15d4a819745b35bf069dee7</t>
  </si>
  <si>
    <t>osf.io/85vpx</t>
  </si>
  <si>
    <t>Human capital and development accounting: new evidence from wage gains at migration</t>
  </si>
  <si>
    <t>Hendricks_QuartJournEco_2018_wNKW</t>
  </si>
  <si>
    <t>... immigrants who have never been to high school gain ... more on migration to the United States than immigrants with a college degree (p. 682.)</t>
  </si>
  <si>
    <t>The average immigrant from a middle-income or poor country increases their wage by a factor of two to three upon migration</t>
  </si>
  <si>
    <t>You should use the pooled sample of immigrants from poor countries in the NIS (New Immigrant Survey) and the Migration Projects, including Mexico.
You should not control for sector: agriculture/nonagriculture, and region i.e. whether an immigrant grew up in a rural or an urban area.</t>
  </si>
  <si>
    <t>…The coefficient on “no high school” indicates that immigrants who have never been to high school gain 82% more on migration to the United States than immigrants with a college degree. See Table III. ∗∗∗ denotes estimates that are statistically different from 0 at the 99% level. [Coefficient of No high school = 0.599, Standard error = 0.073]</t>
  </si>
  <si>
    <t>https://osf.io/ra8qk/?view_only=a863e0709fca4f02807c10b11bb69b05</t>
  </si>
  <si>
    <t>3353 (underestimated) or 3519 (overestimated)</t>
  </si>
  <si>
    <t>osf.io/j56rv</t>
  </si>
  <si>
    <t>Does Race Affect Access to Government Services? An Experiment Exploring Street-Level Bureaucrats and Access to Public Housing</t>
  </si>
  <si>
    <t>Einstein_AmJourPoliSci_2017_mxyQ</t>
  </si>
  <si>
    <t>Hispanic housing applicants were ... less likely to be greeted by name than were ... white counterparts. (p. 100.)</t>
  </si>
  <si>
    <t>Moreover, we observe substantial differences in email tone. Hispanic housing applicants were 20 percentage points less likely to be greeted by name than were their black and white counterparts.</t>
  </si>
  <si>
    <t>You should disregard the moving locations' ethnical composition from which/to which applications were sent.</t>
  </si>
  <si>
    <t>The Hispanic name indicator variable is substantial, negative, and highly significant (Logit coefficient = -0.82, SE = 0.22, p &lt; .01). Baseline is white friendly greeting probability.</t>
  </si>
  <si>
    <t>https://osf.io/nrt4s/?view_only=3bcd18975d9f477fabe7504629bbea27</t>
  </si>
  <si>
    <t>chi2</t>
  </si>
  <si>
    <t xml:space="preserve">page 108 </t>
  </si>
  <si>
    <t>osf.io/38rsh</t>
  </si>
  <si>
    <t>When the Money Stops: Fluctuations in Financial Remittances and Incumbent Approval in Central Eastern Europe, the Caucasus and Central Asia</t>
  </si>
  <si>
    <t>TERTYTCHNAYA_AmPoliSciRev_2018_9wya</t>
  </si>
  <si>
    <t>increases in remittances led to an increase in trust in the president (p. 770.)</t>
  </si>
  <si>
    <t>Relying on a unique four-wave panel study of Kyrgyz citizens between 2010–2013 and a cross-sectional sample of 28 countries in Central Eastern Europe, the Caucasus and Central Asia, we show that when people experience a decrease (increase) in remittances, they become less (more) satisfied about their household economic situation and misattribute responsibility to the incumbent at home.</t>
  </si>
  <si>
    <r>
      <rPr>
        <sz val="10"/>
        <color theme="1"/>
        <rFont val="Calibri"/>
      </rPr>
      <t>You should use Change in Amount of Remittances as explanatory variable instead of Change in Frequency of Remittances or Change in RemittancesIndex.
You should not use instruments for remittance amounts.</t>
    </r>
    <r>
      <rPr>
        <sz val="10"/>
        <color theme="1"/>
        <rFont val="Calibri"/>
      </rPr>
      <t xml:space="preserve">
</t>
    </r>
    <r>
      <rPr>
        <sz val="10"/>
        <color theme="1"/>
        <rFont val="Calibri"/>
      </rPr>
      <t xml:space="preserve">You should use only the </t>
    </r>
    <r>
      <rPr>
        <i/>
        <sz val="10"/>
        <color theme="1"/>
        <rFont val="Calibri"/>
      </rPr>
      <t xml:space="preserve">Life in Kyrgyzstan Panel Survey, 2010–2013 </t>
    </r>
    <r>
      <rPr>
        <sz val="10"/>
        <color theme="1"/>
        <rFont val="Calibri"/>
      </rPr>
      <t>data.</t>
    </r>
  </si>
  <si>
    <t>The results show that an increase in remittances coincides with an increase in trust in the president, while a decrease in remittances decreases trust in the president (coefficient on Change in Amount of Remittances term = 0.048, SE = 0.019, p ≤ 0.05).</t>
  </si>
  <si>
    <t>https://osf.io/hdt23/?view_only=d989cee72b044946bb6a3de3572d501e</t>
  </si>
  <si>
    <t xml:space="preserve">page 767 </t>
  </si>
  <si>
    <t>osf.io/pmg3x</t>
  </si>
  <si>
    <t>The Fiscal Roots of Financial Underdevelopment</t>
  </si>
  <si>
    <t>Menaldo_AmJourPoliSci_2016_Vx4e</t>
  </si>
  <si>
    <t>... after controlling for the profit potential implied by financial repression, as states grow weaker they increase the amount of credit directed to the government and SOEs. (p. 463.)</t>
  </si>
  <si>
    <t>A dynamic panel analysis that exploits instrumental variables and a case study of Mexico adduce strong empirical support for my fiscal transaction cost theory.</t>
  </si>
  <si>
    <t>You should ignore Oil Rents, Economic Growth, Government Debt, FDI, Inflation, Federalism, Regime Type in your analysis.
You should not use instruments seperately for each time period in your analysis. 
You should not use the Windmeijer’s finite sample correction in your analysis.
You should not reduce the instruments by principal component in your analysis.</t>
  </si>
  <si>
    <t>The coefficient on state capacity is negative and highly significant in column 1 of Table 2, in both a substantive and statistical sense (coefficient = –8.118, SE = 0.531).</t>
  </si>
  <si>
    <t>https://osf.io/4yhnc/?view_only=1ef43c337a3d47f7985f292e48859626</t>
  </si>
  <si>
    <t>State Capacity (IQG): coefficient = -2.479, SE = 0.023</t>
  </si>
  <si>
    <t>page 464</t>
  </si>
  <si>
    <t>http://osf.io/tzvgs</t>
  </si>
  <si>
    <t>Unpacking TerritorialDisputes: DomesticPolitical Influencesand War</t>
  </si>
  <si>
    <t>Wright_JournConflictRes_2016_W0GN</t>
  </si>
  <si>
    <t>essentially reproduced -- slight differences due to a rounding difference</t>
  </si>
  <si>
    <t>territorial disputes involving a democratic pitted against an authoritarian state (mixed dyads) were more dangerous than others (p. 662.)</t>
  </si>
  <si>
    <t>This disparity in territorial goals makes mixed regime dyads more war-prone when territory is disputed.</t>
  </si>
  <si>
    <t>You should not restrict your analysis to wars between rival dyads.
You should only consider the five-year interval for war-pronness in your analysis.
You should interpret 'others' as the reference category of jointly autocratic dyads in your analysis.</t>
  </si>
  <si>
    <t>When institutionally mixed dyads fight over territory, war becomes more likely, within five years and in the full sample (from Table 2: estimate for 'Territorial MID x mixed regime dyad' term = 0.769; SE = 0.220; p &lt; 0.01 [two-tailed significance]).</t>
  </si>
  <si>
    <t>https://osf.io/b69xv/?view_only=8471d18b7ba244449cc2bad7ab4980a7</t>
  </si>
  <si>
    <t>estimate for 'Territorial MID x mixed regime dyad' term = 0.769, SE = 0.220, p &lt; 0.01 [two-tailed significance]</t>
  </si>
  <si>
    <t xml:space="preserve">z </t>
  </si>
  <si>
    <t>https://osf.io/gxm3a/</t>
  </si>
  <si>
    <t>It’s Not Just What You Have, but Who You Know: Networks, SocialProximity to Elites, and Voting in State and Local Elections</t>
  </si>
  <si>
    <t>PIETRYKA_AmPoliSciRev_2017_yjkQ</t>
  </si>
  <si>
    <t>individuals more socially proximate to elites turn out at a higher rate (at elections) ... (p. 360.)</t>
  </si>
  <si>
    <t>We show that individuals more socially proximate to elites turn out at a higher rate...</t>
  </si>
  <si>
    <t>You should conduct your analysis based on the statewide elections in 1859 Alexandria, VA.
You should not restrict your analysis to votes cast for the majority party.</t>
  </si>
  <si>
    <t>The Elite Proximity-Turnout Hypothesis receives support. Model 3 for the Alexandria case shows a positive and statistically significant coefficient associated with elite proximity, suggesting people more proximate to elites vote at higher rates (coefficient on social proximity to elites (Z score) term = 0.557, SE = 0.125, p &lt; 0.05).</t>
  </si>
  <si>
    <t>https://osf.io/ntm9f/?view_only=7e8f3c269b03424ab9fa497d3ac1a35e</t>
  </si>
  <si>
    <t>http://osf.io/jybw7</t>
  </si>
  <si>
    <t>Deliberative Abilities and Influence in aTransnational Deliberative Poll (EuroPolis)</t>
  </si>
  <si>
    <t>Gerber_BritJournPoliSci_2018_3WmY</t>
  </si>
  <si>
    <t>participants change their opinions more often when rational justification is used in the discussions (p. 1093).</t>
  </si>
  <si>
    <t>On the positive side, EuroPolis shows that the ideal deliberator scoring high on all deliberative standards does actually exist, and that participants change their opinions more often when rational justification is used in the discussions.</t>
  </si>
  <si>
    <t>You should use change in opinions on immigration when quantifying change in opinions in your analysis.</t>
  </si>
  <si>
    <t>Justification rationality has a clear effect on the magnitude of opinion change: the higher the group level of justification, the more participants have reconsidered their original positions on immigration (Model 2b; coefficient on deliberative quality - level of justification term = 0.130, SE = 0.066, p &lt; 0.05).</t>
  </si>
  <si>
    <t>https://osf.io/xqrgv/?view_only=7dbe13975ec544fc9e6ae07544710caf</t>
  </si>
  <si>
    <t>http://osf.io/myaew</t>
  </si>
  <si>
    <t>Principals, Agents and Human Rights</t>
  </si>
  <si>
    <t>Cingranelli_BritJournPoliSci_2014_qg47</t>
  </si>
  <si>
    <t>a higher reliance on taxes ... lead[s] to the better protection of human rights. (p. 605.)</t>
  </si>
  <si>
    <t>Thus both a higher reliance on taxes and larger state revenues lead to the better protection of human rights.</t>
  </si>
  <si>
    <t>You should pool the data for a time-series, cross-sectional analysis and not analyze the years separately.
You should control for population size, income per capita, democracy, external conflict, internal armed conflict, UK colony.
You should not take into account measures of ethnic and religious fragmentation or regional effects.
You should not use the geographical characteristics of countries and the measures of their ethnic and religious fragmentation as an instrument.
You should use the CIRI Physical Integrity Index as the measure of government respect for human rights instead of its components or the Political Terror Scale.
You should not use random effects model when estimating the effect of reliance on taxes on the protection of human rights.</t>
  </si>
  <si>
    <t>The estimated coefficient of the main independent variable measuring Reliance on Taxes has the expected sign and is statistically significant (coefficient on Reliance on Taxes term = 0.006, robust SE = 0.002, p &lt; 0.05).
Model 6 (ordered probit)</t>
  </si>
  <si>
    <t>https://osf.io/vrd38/?view_only=32788d6a03f64452812b3063432d9dbc</t>
  </si>
  <si>
    <t xml:space="preserve">page 620 </t>
  </si>
  <si>
    <t>http://osf.io/85dxq</t>
  </si>
  <si>
    <t>Self-censorship of Conflict-related Information in the Context of Intractable Conflict</t>
  </si>
  <si>
    <t>Shahar_JournConflictRes_2018_J0Yv</t>
  </si>
  <si>
    <t>Study 1 revealed that perception of distance from potential information recipients ... lead to higher WSC [willingness to self-censor] (p. 957.)</t>
  </si>
  <si>
    <t>Study 1 revealed that perception of distance from potential information recipients and their disseminating capabilities lead to higher WSC.</t>
  </si>
  <si>
    <t>You should use Study 1 dataset in your analysis.
You should use the closely related figures' answers and out-group NGOs' answers for quantifying the perception of distance from potential information recipients in your analysis.</t>
  </si>
  <si>
    <t>Post hoc analysis using Bonferroni correction indicated that the comparison of in-group superiors to in-group nongovernmental organizations was significant (p &lt; .001) (from Table 1, Mean (SD): WSC — in-group superiors = 3.01 (1.51); WSC — in-group nongovernmental organizations = 4.06 (1.54))."</t>
  </si>
  <si>
    <t>https://osf.io/qrtpy/?view_only=be11c20118104b5a84585c59bb27f54d</t>
  </si>
  <si>
    <t>http://osf.io/gzyr3</t>
  </si>
  <si>
    <t>Individual Preferences for FDI in Developing Countries:Experimental Evidence from China</t>
  </si>
  <si>
    <t>Li_JournExpPoliSci_2017_G4mp</t>
  </si>
  <si>
    <t>Citizens are ... concerned about FDI (foreign direct investment) projects’...impact on the local job market (when forming their preferences.) (p.195.)</t>
  </si>
  <si>
    <t>Instead, citizens are more concerned about FDI projects’...impact on the local job market when forming their preferences.</t>
  </si>
  <si>
    <t>You should focus on the positive impact on the local job market scenario when assesing people's preferences.</t>
  </si>
  <si>
    <t xml:space="preserve">OLS regressions.  Randomized experiment. In both waves of the survey, we implemented a series of conjoint experiments to empirically assess our hypotheses. Conjoint analysis involves having respondents evaluate two or more hypothetical options (e.g. several political candidates) with multiple attributes (e.g. race, party, and ideology), then estimating how each attribute affects respondents’ preferences for different options. Seven-point score as the dependent variable and FDI project features as independent variables. The coefficient on the create 1000 local jobs term in the model is approximately 0.25 with a 95% confidence interval that does not contain 0. (p.199-201))
</t>
  </si>
  <si>
    <t>https://osf.io/jspz3/?view_only=6d6f88c3b32f497eaaca030f8fc594b4</t>
  </si>
  <si>
    <t>http://osf.io/6mpv4</t>
  </si>
  <si>
    <t>Ethnicity and Altruism After Violence: The Contact Hypothesis in Kosovo</t>
  </si>
  <si>
    <t>Mironova_JournExpPoliSci_2014_59Rq</t>
  </si>
  <si>
    <t>out-group bridging ... norms increase with exposure to the out-group (p. 170.)</t>
  </si>
  <si>
    <t>...we ﬁnd that both out-group bridging and in-group bonding norms increase with exposure to the out-group</t>
  </si>
  <si>
    <t>You should not control for age, gender, education, employment (a proxy for income), urban vs. rural locations, victimization by violence, property damage due to violence, and displacement by violence.
You should not use Tobit Regression in your analysis.</t>
  </si>
  <si>
    <t>The mean in the primarily Albanian region is 3.13 (SD=1.94); the mean in the primarily Serb region is 1.63 (SD=1.86). The t-statistic on this difference is 4.03 with a p-value less than 0.01.</t>
  </si>
  <si>
    <t>https://osf.io/67xkz/?view_only=9ce5aa6e16bb4c75839b88401642e8b6</t>
  </si>
  <si>
    <t>http://osf.io/he2ta</t>
  </si>
  <si>
    <t>Precolonial legacies and institutional congruence in Public goods delivery</t>
  </si>
  <si>
    <t>Wilfahrt_WorldPolitics_2018_k7wj</t>
  </si>
  <si>
    <t>areas that were once home to precolonial states distribute goods more broadly across space (p. 239).</t>
  </si>
  <si>
    <t>She also tests the argument with a unique, geocoded data set of village-level public goods investments in the 2000s, finding that areas that were once home to precolonial states distribute goods more broadly across space.</t>
  </si>
  <si>
    <t>You should focus on primary schools instead of health facilities in your analysis.
You should control for local need and geographic suitability in your analysis.</t>
  </si>
  <si>
    <t>Model 3 in Table 1 indicates that falling within the boundaries of a precolonial state significantly increases the odds of receiving access to new social services (new primary schools) (coefficient on institutional congruence 20km term = 2.508, robust SE clustered at the rural community = 0.390, p &lt; 0.001).</t>
  </si>
  <si>
    <t>https://osf.io/ngwcx/?view_only=954489db875946dd894ab08ff5ebeb7e</t>
  </si>
  <si>
    <t>http://osf.io/3t9vm</t>
  </si>
  <si>
    <t>Is Eco-Friendly Unmanly? The Green-Feminine Stereotype and Its Effect on Sustainable Consumption</t>
  </si>
  <si>
    <t>Brough_JournConsRes_2016_9ey</t>
  </si>
  <si>
    <t>consumers who engaged in green behavior were perceived .... as more feminine than consumers who engaged in nongreen behavior. (p. 571.)</t>
  </si>
  <si>
    <t>[C]onsumers who engage in green behaviors are stereotyped by others as more feminine</t>
  </si>
  <si>
    <t>You should use the data from Study 2 in your analysis.</t>
  </si>
  <si>
    <t>The femininity index differed significantly based on the target’s environmental behavior; F(1, 190) = 44.00, p &lt; .001, partial eta squared = .19, such that the green target (M = 2.64, SD = .90, N = 94) was perceived as more feminine than the non green target (M = 1.82, SD = .86,N = 100)</t>
  </si>
  <si>
    <t>https://osf.io/dj9y5/?view_only=0e5a1b26c8974ebb866f83af3dc7e10d</t>
  </si>
  <si>
    <t>http://osf.io/6r59k</t>
  </si>
  <si>
    <t>The effect of phasic auditory alerting on visual perception</t>
  </si>
  <si>
    <t>Petersen_Cognition_2017_yJwG</t>
  </si>
  <si>
    <t>Phasic auditory alertness affects visual perception by increasing the visual processing speed (p. 73.)</t>
  </si>
  <si>
    <t>[P]hasic auditory alertness affects visual perception by increasing the visual processing speed and lowering the threshold of conscious perception (Experiment 1).</t>
  </si>
  <si>
    <t>You should use the data from Experiment 1 in your analysis.</t>
  </si>
  <si>
    <t>Fitting the theory of visual attention (TVA) model to each participant (separately for each condition, cue/no cue), there was an increase in processing speed v, t(27) = 4.71, p &lt; 0.001, dz = 0.89 when a 85 dB cue is presented prior to the letter, compared to when no cue was present.</t>
  </si>
  <si>
    <t>https://osf.io/dhqt3/?view_only=ac9bb6624be940c4988a3ecbc77ea2d8</t>
  </si>
  <si>
    <t>http://osf.io/3zy9b</t>
  </si>
  <si>
    <t>Treating Equals Unequally: Incentives in Teams, Workers’ Motivation, and Production Technology</t>
  </si>
  <si>
    <t>Goerg_JournLabEco_2010_WLpV</t>
  </si>
  <si>
    <t>Under a production technology of complementarity, the use of a symmetrical reward scheme elicits substantially lower efforts ... than a cost-equivalent discriminating reward scheme (p. 763)</t>
  </si>
  <si>
    <t>Our experimental results demonstrate that unequal rewards can potentially increase productivity by facilitating coordination and that the effect strongly interacts with the exact shape of the production function.</t>
  </si>
  <si>
    <t>You should restrict your analysis to medium reward type.</t>
  </si>
  <si>
    <t>Focusing on the complementary Production Function, effort levels are significantly higher (p = .0004, two-tailed) under a Discriminating reward scheme than under a Symmetrical reward scheme in the Medium-reward type. In 345COM treatment the mean effort level was  88.9%. In the 444COM treatment, however, it was 72.2%. Comparison across treatments within reward type (p-values, rank-sum test) p = .0260</t>
  </si>
  <si>
    <t>https://osf.io/tbr2x/?view_only=517aa8eb980540b8871d166e7849fe4a</t>
  </si>
  <si>
    <t>2,897047</t>
  </si>
  <si>
    <t xml:space="preserve">268 </t>
  </si>
  <si>
    <t>http://osf.io/mnafb</t>
  </si>
  <si>
    <t>The Ideological Congruence Controversy</t>
  </si>
  <si>
    <t>Thames_CompPolitStu_2010_l22v</t>
  </si>
  <si>
    <t>systems with weak incentives for personal votes (party-centered systems) increase women’s representation in comparison with systems that feature strong incentives for personal votes (candidate-centered systems) (p. 1575)</t>
  </si>
  <si>
    <t>Using a data set of 57 countries between 1980 and 2005, the authors show that party-centered systems are more conducive to women’s representation.</t>
  </si>
  <si>
    <t>You should use the amount of party control over nominations (ballot) to measure personal vote incentives in your analysis.
You should not restrict your analyisis to Democratic Transition Countries, nor Non–Western European Countries.</t>
  </si>
  <si>
    <t>Having the most party-centered electoral system in terms of ballot rules increases women’s representation by more than 2% (see Model 1) as predicted in H1 (from Model 1 in Table 2, 'Ballot = 0 (1, 0)' independent variable: b = 2.389; SE [panel-corrected] = 1.012; p less than or equal to .05).</t>
  </si>
  <si>
    <t>https://osf.io/jau7k/?view_only=574522a43ee242faafa6c9f542028e9a</t>
  </si>
  <si>
    <t xml:space="preserve">page 1587 </t>
  </si>
  <si>
    <t>http://osf.io/q7a6d</t>
  </si>
  <si>
    <t>Managerial Incentives to Increase Risk Provided by Debt, Stock, and Options</t>
  </si>
  <si>
    <t>Under SMD (single member district) election rules, party competition should lead the plurality vote winner to be close to the median voter. (p. 1484.)</t>
  </si>
  <si>
    <t>The association between election rules and congruence has declined in the past decade, as shown by all three major approaches, due primarily to convergence toward the median of plurality parties in the SMD elections.</t>
  </si>
  <si>
    <t>You should use the data from 1945-2003
You should use the Manifesto Method instead of the Cit-Expert and Method in your analysis.</t>
  </si>
  <si>
    <t>In that specification, only the plurality vote winner distance is (very strongly) statistically significant, whereas the time dummies are reduced, most to insignificance ('Plurality party distance to median voter' term: estimate = 0.84; panel-corrected SE = 0.05; significant at .01).</t>
  </si>
  <si>
    <t>https://osf.io/u6hqw/?view_only=74093bfa62e64931b72a299de67579ab</t>
  </si>
  <si>
    <t>page 1491</t>
  </si>
  <si>
    <t>http://osf.io/r2x5m</t>
  </si>
  <si>
    <t>Ruminators (Unlike Others) Fail to Show Suppression-Induced Forgetting on Indirect Measures of Memory</t>
  </si>
  <si>
    <t>Hertel_ClinPsychSci_2018_YabW</t>
  </si>
  <si>
    <t>Nonruminators’ responses in the ... transfer tasks revealed that suppression practice can be beneficial (p. 879.)</t>
  </si>
  <si>
    <t>For a similar subset in Experiment 2, cue meaning denoted by free associations reflected the  meaning  established  during  learning,  but  less  so  when  targets  had  been  suppressed.</t>
  </si>
  <si>
    <t>You should use the Experiment 2 data in your analysis.
You should combine the data from the two types (homographic cues and nonhomographic cues) in your analysis.</t>
  </si>
  <si>
    <t>There was a significant interaction between rumination category and reactions to the baseline vs. suppressed conditions, F(1, 48) = 6.20, MSE = 746.04, p = .016, partial eta squared = .11. Clear evidence of SIF (suppression induced forgetting, i.e. negative interpretations for baseline cues but not suppression cues) was obtained for non-ruminators; but not for ruminators.</t>
  </si>
  <si>
    <t>https://osf.io/u7rqk/?view_only=8c59f20788fa4cd79d43c619c96fedf1</t>
  </si>
  <si>
    <t>...</t>
  </si>
  <si>
    <t>http://osf.io/83r6j</t>
  </si>
  <si>
    <t>Promotions and Incentives: The Case of Multistage Elimination Tournaments</t>
  </si>
  <si>
    <t>Altmann_JournLabEco_2012_WLkV</t>
  </si>
  <si>
    <t>not evaluated -- analysis code not provided</t>
  </si>
  <si>
    <t>Efforts in the first stage of TS are significantly higher than in the OS treatment. (p. 161.)</t>
  </si>
  <si>
    <t>Subjects in the two-stage treatment provide excess effort in the first stage, both with respect to Nash predictions and compared to the strategically equivalent one-stage tournament.</t>
  </si>
  <si>
    <t>You should only involve treatments with no more than two stages in your analysis.
You should not use an OLS model when conducting your analysis.
You should disregard differences in personal characteristics in your analysis.</t>
  </si>
  <si>
    <t>Columns 1 and 2 of table 2 show that first-stage behavior differs considerably between the two treatments. Average effort in the first stage of the two-stage treatment is 84.8 (median = 84). Thus, subjects behave much more competitively in the multistage tournament, exerting efforts that are almost 20% higher than those of their counterparts in the one-stage treatment (average effort = 71.7, median = 75). A Mann-Whitney U-test confirms that the treatment difference is statistically significant (|z| = 2.536, p = .011, two sided).</t>
  </si>
  <si>
    <t>https://osf.io/7pmqx/?view_only=e37372f705d24569bfaa94cae40a83c5</t>
  </si>
  <si>
    <t>p. 158</t>
  </si>
  <si>
    <t>http://osf.io/6xe2v</t>
  </si>
  <si>
    <t>Political Orientation, Information and Perceptions of Election Fraud: Evidence from Russia</t>
  </si>
  <si>
    <t>Robertson_BritJournPoliSci_2017_qggQ</t>
  </si>
  <si>
    <t>... regime opponents who know Golos will be more likely to think that the Duma elections were fraudulent than similar opponents who are not familiar with the organization (pp. 598-599)</t>
  </si>
  <si>
    <t>This article builds on the literature on information acquisition and processing in democracies to argue that much of this variation is due to the way in which citizens’ underlying political orientations affect both the kind of information they gather and how they process that information.</t>
  </si>
  <si>
    <t>You should note that you should not differentiate per information acquisition device (internet or TV) in your analysis (model 2 No TV should not used).</t>
  </si>
  <si>
    <t>Opposition voters are very much moved by knowledge of Golos. Even though this group is the most skeptical of the three by far, those among the opposition who know about Golos are still about twice as likely to express skepticism about the elections than opposition voters who could not correctly identify the organization (odds ratio is approximately 2, with a 95 per cent confidence interval that does not cross 0 [see Figure 2]).</t>
  </si>
  <si>
    <t>https://osf.io/rhxym/?view_only=08f01c53a3574bee91c0dc4923a0c514</t>
  </si>
  <si>
    <t>http://osf.io/93svw</t>
  </si>
  <si>
    <t>Organizing the global value chain</t>
  </si>
  <si>
    <t>We uncover a positive ... relationship between each of the measures of downstreamness and the intrafirm import share in a given sector, with this relationship emerging only for high values of the demand elasticity faced by buyer industries (p. 2132.)</t>
  </si>
  <si>
    <t>Combining data from the U.S. Census Bureau’s Related Party Trade database and estimates of U.S. import demand elasticities from Broda and Weinstein (2006), we find empirical evidence broadly supportive of our key predictions.</t>
  </si>
  <si>
    <r>
      <rPr>
        <sz val="10"/>
        <color rgb="FF000000"/>
        <rFont val="Calibri"/>
      </rPr>
      <t xml:space="preserve">You should use the DUse_TUse (instead of DownMeasure)  measure of production line position in your analysis.
In your analysis, the model should satisfy the condition of </t>
    </r>
    <r>
      <rPr>
        <i/>
        <sz val="10"/>
        <color rgb="FF000000"/>
        <rFont val="Calibri"/>
      </rPr>
      <t>Elas &gt; Median (</t>
    </r>
    <r>
      <rPr>
        <sz val="10"/>
        <color rgb="FF000000"/>
        <rFont val="Calibri"/>
      </rPr>
      <t>most of it is already in the claim</t>
    </r>
    <r>
      <rPr>
        <i/>
        <sz val="10"/>
        <color rgb="FF000000"/>
        <rFont val="Calibri"/>
      </rPr>
      <t>).</t>
    </r>
    <r>
      <rPr>
        <sz val="10"/>
        <color rgb="FF000000"/>
        <rFont val="Calibri"/>
      </rPr>
      <t xml:space="preserve">
You should not use Import elasticity quantiles in your analysis.
You should not use the the ratio of value-added to total shipments (robustness check I use it).
You should not use the measure equal to thevalue of an industry’s total use as an input, divided by the total input pur-chases made by all its buyer industries, constructed from the 2002 U.S. Input–34 Output Table (robustness check II).
You should not use the measure of the extent to which wholesalers that serve as intermediaries to transactions are observed to be active in a given
industry in your analysis (robustness check III).
You should not control for proxies for industry contractibility in your analysis (IV).
You should disregard the role of headquarter intensity in your analysis.
You should disregard the role of implications of firm heterogeneity 
in your analysis.You should not correct for selection into foreign sourcing in your analysis.</t>
    </r>
  </si>
  <si>
    <t>The effect of downstreamness is positive and significant at the 5% level when the average buyer demand elasticity is above the median for this variable (beta_2 &gt; 0), consistent with a greater propensity toward the integration of input suppliers that enter further downstream in the value chain (from Table III, column (2), 'DUse_TUse × 1(Elas &gt; Median), beta_2' term: estimate = 0.171 [0.067]).</t>
  </si>
  <si>
    <t>https://osf.io/8g6rt/?view_only=6e871f7c26314c96925060b69080be3d</t>
  </si>
  <si>
    <t>http://osf.io/ge5ba</t>
  </si>
  <si>
    <t>Crime Victimization and Political Participation</t>
  </si>
  <si>
    <t>BATESON_AmPoliSciRev_2012_RYKv</t>
  </si>
  <si>
    <t>individuals who report recent crime victimization participate in politics more than comparable nonvictims. (p. 570.)</t>
  </si>
  <si>
    <t>Analysis of survey data from five continents shows that individuals who report recent crime victimization participate in politics more than comparable nonvictims.</t>
  </si>
  <si>
    <t>You should use the Latin America and Carrabbean data in your analysis.
You should use Protest as your measure of political participation.
You should disregard Prior Political Participation including voting, Political Violence, and Neighborhood Effects in your analyis.
You should not control for the following characteristics: race, religion, multiple measures of income, occupation, employment status, car ownership, computer ownership, computer usage, television ownership, cell phone usage, sewer service, electrical service, road quality, and frequency of going hungry.</t>
  </si>
  <si>
    <t>The coefficient on victimization is positive and statistically significant (coefficient = 0.0334, robust SE = 0.00317, p &lt; 0.001) [Table 4, first column, top row].</t>
  </si>
  <si>
    <t>https://osf.io/7gr6t/?view_only=8a2edd2d890c473eb763abdecb196829</t>
  </si>
  <si>
    <t>http://osf.io/huwfq</t>
  </si>
  <si>
    <t>Working Hours and Carbon Dioxide Emissions in the United States, 2007–2013</t>
  </si>
  <si>
    <t>Fitzgerald_SocialForces_2018_4q0L</t>
  </si>
  <si>
    <t>... over the 2007–2013 period, state-level carbon emissions and average working hours have a ... positive relationship... (p. 1851)</t>
  </si>
  <si>
    <t>Our findings suggest that over the 2007–2013 period, state-level carbon emissions and average working hours have a strong, positive relationship, which holds across a variety of model estimation techniques and net of various political, economic, and demographic drivers of emissions.</t>
  </si>
  <si>
    <t xml:space="preserve">You should use GDP per hour instead of GDP per capita in your analysis.
You should not include census region and the state environmentalism measures in your analysis. </t>
  </si>
  <si>
    <t>In model 1 (Table 4), the authors find that the scale effect of working hours on carbon emissions is positive and significant. Specifically, in model 1, they find that, over time, a 1 percent increase in average working hours per worker is associated with a 0.668 per-cent increase in emissions, holding all else constant (b = .668, SE = .179, p &lt; .001).</t>
  </si>
  <si>
    <t>https://osf.io/m4yse/?view_only=6b9bc5ac897b46cfb47ea96b0b8431f0</t>
  </si>
  <si>
    <t>350 (50 states * 7 years)</t>
  </si>
  <si>
    <t>osf.io/9uwxt</t>
  </si>
  <si>
    <t>Young Adults’ Fertility Expectations and Events: Associations With College Enrollment and Persistence</t>
  </si>
  <si>
    <t>Raley_JournMarFam_2012_D2LY</t>
  </si>
  <si>
    <t>The analysis, which used data from the National Longitudinal Survey of Youth 1997 cohort ... pregnancies were associated with an increased risk of college dropout for women (p. 866)</t>
  </si>
  <si>
    <t>The analysis, which used data from the National Longitudinal Survey of Youth 1997 cohort, showed a significant association between expectations for early parenthood and the likelihood of going to a...2-year college for both men and women.</t>
  </si>
  <si>
    <t>You should not include marriage, cohabitation, and employment variables in your analysis.
You should not include the interaction term between gender and pregnancy in your analysis.</t>
  </si>
  <si>
    <t>1.The result was a statistically significant regression coefficient for “fertility expectations” in the equation contrasting going to a 2 year college versus never attending any college, B = -.05, p &lt; .01, SE = .01, RRR = .96</t>
  </si>
  <si>
    <t>https://osf.io/c8u5q/?view_only=855e0adec1db4515ab44f1e993be6228</t>
  </si>
  <si>
    <t>osf.io/nbtpy</t>
  </si>
  <si>
    <t>Forced Displacement From Rental Housing: Prevalence and Neighborhood Consequences</t>
  </si>
  <si>
    <t>Desmond_Demography_2015_qQ9Z</t>
  </si>
  <si>
    <t>... renters who experienced a forced move relocate to poorer ... neighborhoods than those who move under less-demanding circumstances. (p. 751)</t>
  </si>
  <si>
    <t>Multivariate analyses suggest that renters who experienced a forced move relocate to poorer and higher-crime neighborhoods than those who move under less-demanding circumstances.</t>
  </si>
  <si>
    <t>You should control for Black Renter, Hispanic Renter, Other Ethnicity Renter Age, Less Than High School Education,High School/GED, Housing Assistance in Past Residence Single-Mother Household in Past Residence Criminal Record Before Move ,Had a Child in Previous 2 Years</t>
  </si>
  <si>
    <t>Even after controlling for a suite of important factors, the model estimate that renters who experienced a forced move live in neighborhoods with significantly higher poverty  rates than those who moved voluntarily, conditioning on previous neighborhood poverty rate and crime rate. Experiencing a forced move is associated with more than one-third of a standard deviation increase in neighborhood poverty rates, relative to voluntary moves. The authors full models estimate that, all else equal, renters who experienced a forced move wound up in neighborhoods with a poverty rate 5.4 percentage points higher (b = .054, SE = .025, p &lt; .05).</t>
  </si>
  <si>
    <r>
      <rPr>
        <sz val="10"/>
        <rFont val="Calibri"/>
      </rPr>
      <t xml:space="preserve"> </t>
    </r>
    <r>
      <rPr>
        <u/>
        <sz val="10"/>
        <color rgb="FF1155CC"/>
        <rFont val="Calibri"/>
      </rPr>
      <t>https://osf.io/v4qnm/?view_only=680b15e6531d43de8cddf213ddb63608</t>
    </r>
  </si>
  <si>
    <t>osf.io/2rqvu</t>
  </si>
  <si>
    <t>Who Is the Residential Parent? Understanding Discrepancies in Unmarried Parents’ Reports</t>
  </si>
  <si>
    <t>Waller_JournMarFam_2014_AXBY</t>
  </si>
  <si>
    <t>... conﬂicting reports [about who their child lived with] were much more likely when fathers spent nights with the mother (an indicator of part-time cohabitation)… (p. 73)</t>
  </si>
  <si>
    <t>[C]onﬂicting reports were much more likely when fathers spent nights with the mother (an indicator of part-time cohabitation)…</t>
  </si>
  <si>
    <t>You should focus on the household roster instead of direct question as the source of information in your analysis.
You should control for "Traditional gender views, mother", "Traditional gender views, father", Time between interviews (months),  Visitation agreement, Child support order, Father’s distance from mother, Father visited hospital, Father’s name on birth certificate, Father gave money during pregnancy, Father suggested abortion, Mother experienced abuse,Father has substance use problem, Father in jail</t>
  </si>
  <si>
    <t>In the full model (Model 5), the odds of both parents listing the child in their household roster were 3.8 times higher when they spent nights together, unstandardized logistic regression coefficient estimate = 1.33, SE = .55, Odds Ratio = 3.76, p &lt; .001</t>
  </si>
  <si>
    <t>https://osf.io/9jxeg/?view_only=dc953c191af447c2909954eba8a74310</t>
  </si>
  <si>
    <t>osf.io/hfr9q</t>
  </si>
  <si>
    <t>The Cultural Divide in Europe Migration, Multiculturalism, and Political Trust</t>
  </si>
  <si>
    <t>McLaren_WorldPolitics_2012_wRvv</t>
  </si>
  <si>
    <t xml:space="preserve"> ... concerns about the effect of immigration on the national community have a(n) [reducing] impact on trust in politics. (p. 199)</t>
  </si>
  <si>
    <t>The findings indicate that even after controlling for other predictors of trust in the political system, concerns about the effect of immigration on the national community have an impact on trust in politics.</t>
  </si>
  <si>
    <t>You should include unhappiness in your set of controls variables.
You should focus on trust in parliament when estimating trust in politics in you analysis.
You should not control for long-term country of immigration interaction with concern about immigration and popular far-right party interaction with concern about immigration in your analysis.</t>
  </si>
  <si>
    <t>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</si>
  <si>
    <r>
      <rPr>
        <sz val="10"/>
        <rFont val="Calibri"/>
      </rPr>
      <t xml:space="preserve"> </t>
    </r>
    <r>
      <rPr>
        <u/>
        <sz val="10"/>
        <color rgb="FF1155CC"/>
        <rFont val="Calibri"/>
      </rPr>
      <t>https://osf.io/7hb5w/?view_only=c08c9c7ba1824ca1aa1ce874c75074ca</t>
    </r>
  </si>
  <si>
    <t>90156.346370422 (Satterthwaite-corrected effective df)</t>
  </si>
  <si>
    <t>68113 (at level 1 of hierarchical model)</t>
  </si>
  <si>
    <t>osf.io/9jvbt</t>
  </si>
  <si>
    <t>Childlessness and Psychological Well-Being in Context: A Multilevel Study on 24 European Countries</t>
  </si>
  <si>
    <t>Huijts_EurSocioRev_2013_OY3B</t>
  </si>
  <si>
    <t>The disadvantage in psychological well-being of childless people is smaller in countries with tolerant norms towards childlessness
(p. 32)</t>
  </si>
  <si>
    <t>The disadvantage in psychological well-being of childless people is smaller in countries with tolerant norms towards childlessness and high levels of social contacts.</t>
  </si>
  <si>
    <t>You should investigate men instead of women in your analysis</t>
  </si>
  <si>
    <t>In Model 2a, the authors find that the difference in psychological well-being between people who live with children and childless people is larger as societal norms are more disapproving of childlessness (from 'Men' panel of Model 2a in Table 4, 'Lives with children x Percent (strongly) disapproves' term: B = 0.002; SE = 0.001; P &lt; 0.05).</t>
  </si>
  <si>
    <t>https://osf.io/qnvt2/?view_only=977afd85d7a1403c8808a96da1fbbc1c</t>
  </si>
  <si>
    <t>osf.io/u6h2x</t>
  </si>
  <si>
    <t>Linking Positive Affect to Blood Lipids: A Cultural Perspective</t>
  </si>
  <si>
    <t>Yoo_PsychologSci_2017_BebG</t>
  </si>
  <si>
    <t>...positive affect was associated with healthier lipid profiles for Americans but not for Japanese (p. 1468)</t>
  </si>
  <si>
    <t>As predicted, positive affect was associated with healthier lipid profiles for Americans but not for Japanese</t>
  </si>
  <si>
    <t>You should control for health status variables in your analysis.
You should use HDL-C instead of TC/HDL-C index for lipid profiles in your analysis.</t>
  </si>
  <si>
    <t>There were significant interactions between positive affect and culture for HDL-C (high-density lipoprotein cholesterol), b = 0.022, 95% confidence interval (CI) = [0.001, 0.045], partial eta squared = .03, t(1372) = 2.00, p = .046</t>
  </si>
  <si>
    <t>https://osf.io/9n8uh/?view_only=da0997f5653742919627c78f1a747bec</t>
  </si>
  <si>
    <t>osf.io/ythrv</t>
  </si>
  <si>
    <t>Diverging Patterns of Union Transition Among Cohabitors by Race/Ethnicity and Education: Trends and Marital Intentions in the United States</t>
  </si>
  <si>
    <t>Kuo_Demography_2016_JWzJ</t>
  </si>
  <si>
    <t>demography</t>
  </si>
  <si>
    <t>cohabitors have increasingly become less likely to progress to marriage (p. 932)</t>
  </si>
  <si>
    <t>With data on two cohabiting cohorts from the NSFG 1995 and 2006–2010, the current study finds that marriage rates among cohabitors have declined steeply among those with no college degree, resulting in growing educational disparities over time.</t>
  </si>
  <si>
    <t>You should not include interactions between education and period in your analysis.</t>
  </si>
  <si>
    <t>The result was a statistically significant, the coefficient for 2005–2010 period is b = -0.683, SE = (0.14), p &lt; .001</t>
  </si>
  <si>
    <t>https://osf.io/u8x9s/?view_only=df61ea3e019f4d42957e0e0e4f8281f1</t>
  </si>
  <si>
    <t>2071 (54291 person-months)</t>
  </si>
  <si>
    <t>osf.io/b69nv</t>
  </si>
  <si>
    <t>It's the attention that counts: interpersonal attention fosters intimacy and social exchange</t>
  </si>
  <si>
    <t>Ohtsubo_EvoHumanBehavior_2014_zlm2</t>
  </si>
  <si>
    <t>participants increased their intimacy with a partner when they received attention from the partner. (p. 237)</t>
  </si>
  <si>
    <t>These studies consistently showed that the participants increased their intimacy with a partner when they received attention from the partner</t>
  </si>
  <si>
    <t>Your analysis should focus on the scenario when monitoring behaviour is dissociated from any potential benefit in the task.
Your analysis should focus on the scenario when the participants' partner is able to intentionally pay attention to the participants. 
You should not use different levels of attention in your analysis.</t>
  </si>
  <si>
    <t>Consistent with the hypothesis, intimacy was higher in the attention condition (4.58 ± .82) than in the no attention condition (2.82 ± .79), t27 = 5.91, p &lt; .001, d = 2.20</t>
  </si>
  <si>
    <t>https://osf.io/ek3tm/?view_only=68d4ca083252477883e1099573e4474f</t>
  </si>
  <si>
    <t>osf.io/deyax</t>
  </si>
  <si>
    <t>Bingham Powell_CompPolitStu_2009_0PZl</t>
  </si>
  <si>
    <t>AntrAs_Econometrica_2013_a2Yx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</si>
</sst>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quot;$&quot;#,##0.00"/>
    <numFmt numFmtId="166" formatCode="#,##0.000000"/>
    <numFmt numFmtId="167" formatCode="#,##0.00000"/>
    <numFmt numFmtId="168" formatCode="0.0000000000"/>
    <numFmt numFmtId="169" formatCode="0.000000"/>
  </numFmts>
  <fonts count="29" x14ac:knownFonts="1">
    <font>
      <sz val="10"/>
      <color rgb="FF000000"/>
      <name val="Arial"/>
      <scheme val="minor"/>
    </font>
    <font>
      <b/>
      <sz val="10"/>
      <color rgb="FF000000"/>
      <name val="Calibri"/>
    </font>
    <font>
      <sz val="10"/>
      <color rgb="FF000000"/>
      <name val="Calibri"/>
    </font>
    <font>
      <sz val="10"/>
      <color theme="1"/>
      <name val="Arial"/>
    </font>
    <font>
      <sz val="10"/>
      <color theme="1"/>
      <name val="Calibri"/>
    </font>
    <font>
      <u/>
      <sz val="10"/>
      <color rgb="FF000000"/>
      <name val="Calibri"/>
    </font>
    <font>
      <u/>
      <sz val="10"/>
      <color rgb="FF1155CC"/>
      <name val="Calibri"/>
    </font>
    <font>
      <u/>
      <sz val="10"/>
      <color rgb="FF0000FF"/>
      <name val="Calibri"/>
    </font>
    <font>
      <sz val="10"/>
      <color theme="1"/>
      <name val="Calibri"/>
    </font>
    <font>
      <sz val="10"/>
      <color rgb="FF000000"/>
      <name val="Calibri"/>
    </font>
    <font>
      <strike/>
      <sz val="10"/>
      <color theme="1"/>
      <name val="Calibri"/>
    </font>
    <font>
      <u/>
      <sz val="10"/>
      <color rgb="FF000000"/>
      <name val="Calibri"/>
    </font>
    <font>
      <u/>
      <sz val="10"/>
      <color rgb="FF1155CC"/>
      <name val="Calibri"/>
    </font>
    <font>
      <u/>
      <sz val="10"/>
      <color rgb="FF0000FF"/>
      <name val="Calibri"/>
    </font>
    <font>
      <u/>
      <sz val="10"/>
      <color rgb="FF1155CC"/>
      <name val="Calibri"/>
    </font>
    <font>
      <u/>
      <sz val="10"/>
      <color rgb="FF1155CC"/>
      <name val="Calibri"/>
    </font>
    <font>
      <u/>
      <sz val="10"/>
      <color rgb="FF000000"/>
      <name val="Calibri"/>
    </font>
    <font>
      <sz val="10"/>
      <color rgb="FFCC0000"/>
      <name val="Calibri"/>
    </font>
    <font>
      <u/>
      <sz val="10"/>
      <color rgb="FF000000"/>
      <name val="Calibri"/>
    </font>
    <font>
      <strike/>
      <sz val="10"/>
      <color rgb="FF000000"/>
      <name val="Calibri"/>
    </font>
    <font>
      <u/>
      <sz val="10"/>
      <color rgb="FF000000"/>
      <name val="Calibri"/>
    </font>
    <font>
      <sz val="10"/>
      <color rgb="FF222222"/>
      <name val="Calibri"/>
    </font>
    <font>
      <u/>
      <sz val="10"/>
      <color rgb="FF0000FF"/>
      <name val="Calibri"/>
    </font>
    <font>
      <sz val="10"/>
      <color rgb="FF1F1F1F"/>
      <name val="Calibri"/>
    </font>
    <font>
      <sz val="9"/>
      <color rgb="FF000000"/>
      <name val="Calibri"/>
    </font>
    <font>
      <i/>
      <sz val="10"/>
      <color rgb="FF000000"/>
      <name val="Calibri"/>
    </font>
    <font>
      <i/>
      <sz val="10"/>
      <color theme="1"/>
      <name val="Calibri"/>
    </font>
    <font>
      <sz val="10"/>
      <color rgb="FFFF0000"/>
      <name val="Calibri"/>
    </font>
    <font>
      <sz val="10"/>
      <name val="Calibri"/>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47">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left" vertical="center" wrapText="1"/>
    </xf>
    <xf numFmtId="0" fontId="2" fillId="0" borderId="0" xfId="0" applyFont="1"/>
    <xf numFmtId="0" fontId="3" fillId="0" borderId="0" xfId="0" applyFont="1"/>
    <xf numFmtId="0" fontId="4" fillId="0" borderId="0" xfId="0" applyFont="1" applyAlignment="1">
      <alignment horizontal="center"/>
    </xf>
    <xf numFmtId="0" fontId="4" fillId="0" borderId="0" xfId="0" applyFont="1"/>
    <xf numFmtId="0" fontId="2" fillId="0" borderId="0" xfId="0" applyFont="1" applyAlignment="1">
      <alignment wrapText="1"/>
    </xf>
    <xf numFmtId="0" fontId="4" fillId="0" borderId="0" xfId="0" applyFont="1" applyAlignment="1">
      <alignment horizontal="left" wrapText="1"/>
    </xf>
    <xf numFmtId="0" fontId="4" fillId="0" borderId="0" xfId="0" applyFont="1" applyAlignment="1">
      <alignment horizontal="left"/>
    </xf>
    <xf numFmtId="0" fontId="5" fillId="0" borderId="0" xfId="0" applyFont="1"/>
    <xf numFmtId="0" fontId="6" fillId="2" borderId="0" xfId="0" applyFont="1" applyFill="1"/>
    <xf numFmtId="0" fontId="2" fillId="0" borderId="0" xfId="0" applyFont="1" applyAlignment="1">
      <alignment horizontal="left"/>
    </xf>
    <xf numFmtId="0" fontId="7" fillId="2" borderId="0" xfId="0" applyFont="1" applyFill="1"/>
    <xf numFmtId="0" fontId="8" fillId="0" borderId="0" xfId="0" applyFont="1"/>
    <xf numFmtId="0" fontId="2" fillId="0" borderId="0" xfId="0" applyFont="1" applyAlignment="1">
      <alignment horizontal="left" wrapText="1"/>
    </xf>
    <xf numFmtId="0" fontId="9" fillId="0" borderId="0" xfId="0" applyFont="1"/>
    <xf numFmtId="0" fontId="8" fillId="0" borderId="0" xfId="0" applyFont="1" applyAlignment="1">
      <alignment horizontal="center"/>
    </xf>
    <xf numFmtId="0" fontId="10" fillId="0" borderId="0" xfId="0" applyFont="1"/>
    <xf numFmtId="3" fontId="2" fillId="0" borderId="0" xfId="0" applyNumberFormat="1" applyFont="1"/>
    <xf numFmtId="0" fontId="11" fillId="0" borderId="0" xfId="0" applyFont="1"/>
    <xf numFmtId="0" fontId="12" fillId="2" borderId="0" xfId="0" applyFont="1" applyFill="1"/>
    <xf numFmtId="0" fontId="13" fillId="0" borderId="0" xfId="0" applyFont="1"/>
    <xf numFmtId="164" fontId="4" fillId="0" borderId="0" xfId="0" applyNumberFormat="1" applyFont="1"/>
    <xf numFmtId="0" fontId="14" fillId="0" borderId="0" xfId="0" applyFont="1"/>
    <xf numFmtId="0" fontId="15" fillId="0" borderId="0" xfId="0" applyFont="1"/>
    <xf numFmtId="49" fontId="4" fillId="0" borderId="0" xfId="0" applyNumberFormat="1" applyFont="1"/>
    <xf numFmtId="3" fontId="4" fillId="0" borderId="0" xfId="0" applyNumberFormat="1" applyFont="1"/>
    <xf numFmtId="0" fontId="16" fillId="2" borderId="0" xfId="0" applyFont="1" applyFill="1"/>
    <xf numFmtId="165" fontId="4" fillId="0" borderId="0" xfId="0" applyNumberFormat="1" applyFont="1" applyAlignment="1">
      <alignment horizontal="left"/>
    </xf>
    <xf numFmtId="166" fontId="4" fillId="0" borderId="0" xfId="0" applyNumberFormat="1" applyFont="1"/>
    <xf numFmtId="167" fontId="4" fillId="0" borderId="0" xfId="0" applyNumberFormat="1" applyFont="1"/>
    <xf numFmtId="0" fontId="4" fillId="0" borderId="0" xfId="0" applyFont="1" applyAlignment="1">
      <alignment wrapText="1"/>
    </xf>
    <xf numFmtId="167" fontId="2" fillId="0" borderId="0" xfId="0" applyNumberFormat="1" applyFont="1"/>
    <xf numFmtId="168" fontId="4" fillId="0" borderId="0" xfId="0" applyNumberFormat="1" applyFont="1"/>
    <xf numFmtId="0" fontId="17" fillId="0" borderId="0" xfId="0" applyFont="1"/>
    <xf numFmtId="0" fontId="18" fillId="2" borderId="0" xfId="0" applyFont="1" applyFill="1"/>
    <xf numFmtId="169" fontId="4" fillId="0" borderId="0" xfId="0" applyNumberFormat="1" applyFont="1"/>
    <xf numFmtId="0" fontId="19" fillId="0" borderId="0" xfId="0" applyFont="1" applyAlignment="1">
      <alignment horizontal="left"/>
    </xf>
    <xf numFmtId="0" fontId="20" fillId="0" borderId="0" xfId="0" applyFont="1"/>
    <xf numFmtId="0" fontId="21" fillId="0" borderId="0" xfId="0" applyFont="1" applyAlignment="1">
      <alignment horizontal="left"/>
    </xf>
    <xf numFmtId="49" fontId="2" fillId="0" borderId="0" xfId="0" applyNumberFormat="1" applyFont="1" applyAlignment="1">
      <alignment horizontal="right"/>
    </xf>
    <xf numFmtId="0" fontId="22" fillId="0" borderId="0" xfId="0" applyFont="1"/>
    <xf numFmtId="0" fontId="2" fillId="0" borderId="0" xfId="0" applyFont="1" applyAlignment="1">
      <alignment horizontal="right"/>
    </xf>
    <xf numFmtId="0" fontId="23" fillId="3" borderId="0" xfId="0" applyFont="1" applyFill="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sf.io/7vywk/?view_only=2d8677bedca74b808de409122db7d2d9" TargetMode="External"/><Relationship Id="rId21" Type="http://schemas.openxmlformats.org/officeDocument/2006/relationships/hyperlink" Target="https://osf.io/2qngf/?view_only=6cbc2b00b8c54b25b7c32d6c1ff50eac" TargetMode="External"/><Relationship Id="rId42" Type="http://schemas.openxmlformats.org/officeDocument/2006/relationships/hyperlink" Target="http://osf.io/zvq7f" TargetMode="External"/><Relationship Id="rId63" Type="http://schemas.openxmlformats.org/officeDocument/2006/relationships/hyperlink" Target="https://osf.io/sb9vk/?view_only=0e425c00ffe54947bc722e8efb0210c5" TargetMode="External"/><Relationship Id="rId84" Type="http://schemas.openxmlformats.org/officeDocument/2006/relationships/hyperlink" Target="http://osf.io/q9jn6" TargetMode="External"/><Relationship Id="rId138" Type="http://schemas.openxmlformats.org/officeDocument/2006/relationships/hyperlink" Target="http://osf.io/85vpx" TargetMode="External"/><Relationship Id="rId159" Type="http://schemas.openxmlformats.org/officeDocument/2006/relationships/hyperlink" Target="https://osf.io/67xkz/?view_only=9ce5aa6e16bb4c75839b88401642e8b6" TargetMode="External"/><Relationship Id="rId170" Type="http://schemas.openxmlformats.org/officeDocument/2006/relationships/hyperlink" Target="http://osf.io/q7a6d" TargetMode="External"/><Relationship Id="rId191" Type="http://schemas.openxmlformats.org/officeDocument/2006/relationships/hyperlink" Target="https://osf.io/7hb5w/?view_only=c08c9c7ba1824ca1aa1ce874c75074ca" TargetMode="External"/><Relationship Id="rId107" Type="http://schemas.openxmlformats.org/officeDocument/2006/relationships/hyperlink" Target="https://osf.io/dsuwf/?view_only=312c66b60e144d0ea76aca93aeb43fc5" TargetMode="External"/><Relationship Id="rId11" Type="http://schemas.openxmlformats.org/officeDocument/2006/relationships/hyperlink" Target="https://osf.io/q67m9/?view_only=e29b4bddc8bf4052b3725ad2d23fdaad" TargetMode="External"/><Relationship Id="rId32" Type="http://schemas.openxmlformats.org/officeDocument/2006/relationships/hyperlink" Target="http://osf.io/g5esn" TargetMode="External"/><Relationship Id="rId53" Type="http://schemas.openxmlformats.org/officeDocument/2006/relationships/hyperlink" Target="https://osf.io/entyx/?view_only=5f6269a75ac24dd1bac7ee528dee6e7d" TargetMode="External"/><Relationship Id="rId74" Type="http://schemas.openxmlformats.org/officeDocument/2006/relationships/hyperlink" Target="http://osf.io/2krj9" TargetMode="External"/><Relationship Id="rId128" Type="http://schemas.openxmlformats.org/officeDocument/2006/relationships/hyperlink" Target="http://osf.io/j7etu" TargetMode="External"/><Relationship Id="rId149" Type="http://schemas.openxmlformats.org/officeDocument/2006/relationships/hyperlink" Target="https://osf.io/ntm9f/?view_only=7e8f3c269b03424ab9fa497d3ac1a35e" TargetMode="External"/><Relationship Id="rId5" Type="http://schemas.openxmlformats.org/officeDocument/2006/relationships/hyperlink" Target="https://osf.io/nxk65/?view_only=b7d9e144145641e093b81b652c3a6b45" TargetMode="External"/><Relationship Id="rId95" Type="http://schemas.openxmlformats.org/officeDocument/2006/relationships/hyperlink" Target="https://osf.io/grcbn/?view_only=4aee0ec403734de9bd226194a0f190ae" TargetMode="External"/><Relationship Id="rId160" Type="http://schemas.openxmlformats.org/officeDocument/2006/relationships/hyperlink" Target="http://osf.io/he2ta" TargetMode="External"/><Relationship Id="rId181" Type="http://schemas.openxmlformats.org/officeDocument/2006/relationships/hyperlink" Target="https://osf.io/7gr6t/?view_only=8a2edd2d890c473eb763abdecb196829" TargetMode="External"/><Relationship Id="rId22" Type="http://schemas.openxmlformats.org/officeDocument/2006/relationships/hyperlink" Target="http://osf.io/3wxnk" TargetMode="External"/><Relationship Id="rId43" Type="http://schemas.openxmlformats.org/officeDocument/2006/relationships/hyperlink" Target="https://osf.io/h6m5d/?view_only=b23bbc54fbfb438595d8db9ac8f62ea4" TargetMode="External"/><Relationship Id="rId64" Type="http://schemas.openxmlformats.org/officeDocument/2006/relationships/hyperlink" Target="http://osf.io/we2zx" TargetMode="External"/><Relationship Id="rId118" Type="http://schemas.openxmlformats.org/officeDocument/2006/relationships/hyperlink" Target="http://osf.io/kp9s2" TargetMode="External"/><Relationship Id="rId139" Type="http://schemas.openxmlformats.org/officeDocument/2006/relationships/hyperlink" Target="https://osf.io/ra8qk/?view_only=a863e0709fca4f02807c10b11bb69b05" TargetMode="External"/><Relationship Id="rId85" Type="http://schemas.openxmlformats.org/officeDocument/2006/relationships/hyperlink" Target="https://osf.io/5svmz/?view_only=fbc36a2c4a7b4f5caa43f54ac3874914" TargetMode="External"/><Relationship Id="rId150" Type="http://schemas.openxmlformats.org/officeDocument/2006/relationships/hyperlink" Target="http://osf.io/jybw7" TargetMode="External"/><Relationship Id="rId171" Type="http://schemas.openxmlformats.org/officeDocument/2006/relationships/hyperlink" Target="https://osf.io/u6hqw/?view_only=74093bfa62e64931b72a299de67579ab" TargetMode="External"/><Relationship Id="rId192" Type="http://schemas.openxmlformats.org/officeDocument/2006/relationships/hyperlink" Target="http://osf.io/9jvbt" TargetMode="External"/><Relationship Id="rId12" Type="http://schemas.openxmlformats.org/officeDocument/2006/relationships/hyperlink" Target="http://osf.io/xw375" TargetMode="External"/><Relationship Id="rId33" Type="http://schemas.openxmlformats.org/officeDocument/2006/relationships/hyperlink" Target="https://osf.io/wvc4r/?view_only=1f49b82c625e4a2cb5260462f5cc7d97" TargetMode="External"/><Relationship Id="rId108" Type="http://schemas.openxmlformats.org/officeDocument/2006/relationships/hyperlink" Target="http://osf.io/ud8eb" TargetMode="External"/><Relationship Id="rId129" Type="http://schemas.openxmlformats.org/officeDocument/2006/relationships/hyperlink" Target="https://osf.io/sz8mu/?view_only=1a1dd479543842f38de39a86eae4a648" TargetMode="External"/><Relationship Id="rId54" Type="http://schemas.openxmlformats.org/officeDocument/2006/relationships/hyperlink" Target="http://osf.io/y2ua3" TargetMode="External"/><Relationship Id="rId75" Type="http://schemas.openxmlformats.org/officeDocument/2006/relationships/hyperlink" Target="https://osf.io/u7nxt/?view_only=0f7bf229eedb435ca99c444b63514694" TargetMode="External"/><Relationship Id="rId96" Type="http://schemas.openxmlformats.org/officeDocument/2006/relationships/hyperlink" Target="http://osf.io/c736v" TargetMode="External"/><Relationship Id="rId140" Type="http://schemas.openxmlformats.org/officeDocument/2006/relationships/hyperlink" Target="http://osf.io/j56rv" TargetMode="External"/><Relationship Id="rId161" Type="http://schemas.openxmlformats.org/officeDocument/2006/relationships/hyperlink" Target="https://osf.io/ngwcx/?view_only=954489db875946dd894ab08ff5ebeb7e" TargetMode="External"/><Relationship Id="rId182" Type="http://schemas.openxmlformats.org/officeDocument/2006/relationships/hyperlink" Target="http://osf.io/huwfq" TargetMode="External"/><Relationship Id="rId6" Type="http://schemas.openxmlformats.org/officeDocument/2006/relationships/hyperlink" Target="http://osf.io/8q5zx" TargetMode="External"/><Relationship Id="rId23" Type="http://schemas.openxmlformats.org/officeDocument/2006/relationships/hyperlink" Target="https://osf.io/njw6q/?view_only=7d16467bba004af1ac7022aa802c18d2" TargetMode="External"/><Relationship Id="rId119" Type="http://schemas.openxmlformats.org/officeDocument/2006/relationships/hyperlink" Target="https://osf.io/k8tvw/?view_only=b22bd04568574f0fba1dc78d45b83ae3" TargetMode="External"/><Relationship Id="rId44" Type="http://schemas.openxmlformats.org/officeDocument/2006/relationships/hyperlink" Target="http://osf.io/gc7df" TargetMode="External"/><Relationship Id="rId65" Type="http://schemas.openxmlformats.org/officeDocument/2006/relationships/hyperlink" Target="https://osf.io/f3hd9/?view_only=a4730e1e111c43999776210149794282" TargetMode="External"/><Relationship Id="rId86" Type="http://schemas.openxmlformats.org/officeDocument/2006/relationships/hyperlink" Target="http://osf.io/49v3h" TargetMode="External"/><Relationship Id="rId130" Type="http://schemas.openxmlformats.org/officeDocument/2006/relationships/hyperlink" Target="http://osf.io/mnbx4" TargetMode="External"/><Relationship Id="rId151" Type="http://schemas.openxmlformats.org/officeDocument/2006/relationships/hyperlink" Target="https://osf.io/xqrgv/?view_only=7dbe13975ec544fc9e6ae07544710caf" TargetMode="External"/><Relationship Id="rId172" Type="http://schemas.openxmlformats.org/officeDocument/2006/relationships/hyperlink" Target="http://osf.io/r2x5m" TargetMode="External"/><Relationship Id="rId193" Type="http://schemas.openxmlformats.org/officeDocument/2006/relationships/hyperlink" Target="https://osf.io/qnvt2/?view_only=977afd85d7a1403c8808a96da1fbbc1c" TargetMode="External"/><Relationship Id="rId13" Type="http://schemas.openxmlformats.org/officeDocument/2006/relationships/hyperlink" Target="https://osf.io/8udve/?view_only=4136086868d64e6ea191dd172c45bcf2" TargetMode="External"/><Relationship Id="rId109" Type="http://schemas.openxmlformats.org/officeDocument/2006/relationships/hyperlink" Target="https://osf.io/6zh34/?view_only=3e5bfed2e1f041dbbb4376e9c0c5f70b" TargetMode="External"/><Relationship Id="rId34" Type="http://schemas.openxmlformats.org/officeDocument/2006/relationships/hyperlink" Target="http://osf.io/72mqv" TargetMode="External"/><Relationship Id="rId55" Type="http://schemas.openxmlformats.org/officeDocument/2006/relationships/hyperlink" Target="https://osf.io/5xdq3/?view_only=acceb336a2fa4eb3909e8b5e6122b5e3" TargetMode="External"/><Relationship Id="rId76" Type="http://schemas.openxmlformats.org/officeDocument/2006/relationships/hyperlink" Target="http://osf.io/fmnx4" TargetMode="External"/><Relationship Id="rId97" Type="http://schemas.openxmlformats.org/officeDocument/2006/relationships/hyperlink" Target="https://osf.io/br2aq/?view_only=865a8e84907849e688e63ca34fe91f26" TargetMode="External"/><Relationship Id="rId120" Type="http://schemas.openxmlformats.org/officeDocument/2006/relationships/hyperlink" Target="http://osf.io/vcqrm" TargetMode="External"/><Relationship Id="rId141" Type="http://schemas.openxmlformats.org/officeDocument/2006/relationships/hyperlink" Target="https://osf.io/nrt4s/?view_only=3bcd18975d9f477fabe7504629bbea27" TargetMode="External"/><Relationship Id="rId7" Type="http://schemas.openxmlformats.org/officeDocument/2006/relationships/hyperlink" Target="https://osf.io/bsv24/?view_only=84df9267c74b482fa3cf2f4dc611ee48" TargetMode="External"/><Relationship Id="rId162" Type="http://schemas.openxmlformats.org/officeDocument/2006/relationships/hyperlink" Target="http://osf.io/3t9vm" TargetMode="External"/><Relationship Id="rId183" Type="http://schemas.openxmlformats.org/officeDocument/2006/relationships/hyperlink" Target="https://osf.io/m4yse/?view_only=6b9bc5ac897b46cfb47ea96b0b8431f0" TargetMode="External"/><Relationship Id="rId2" Type="http://schemas.openxmlformats.org/officeDocument/2006/relationships/hyperlink" Target="http://osf.io/hd8e6" TargetMode="External"/><Relationship Id="rId29" Type="http://schemas.openxmlformats.org/officeDocument/2006/relationships/hyperlink" Target="https://osf.io/yj35k/?view_only=d4451dbf78214c8ab1923d497515880c" TargetMode="External"/><Relationship Id="rId24" Type="http://schemas.openxmlformats.org/officeDocument/2006/relationships/hyperlink" Target="http://osf.io/mb546" TargetMode="External"/><Relationship Id="rId40" Type="http://schemas.openxmlformats.org/officeDocument/2006/relationships/hyperlink" Target="http://osf.io/kjnx3" TargetMode="External"/><Relationship Id="rId45" Type="http://schemas.openxmlformats.org/officeDocument/2006/relationships/hyperlink" Target="https://osf.io/5r4yp/?view_only=621d437b4a2a4e288e27e0604050ba79" TargetMode="External"/><Relationship Id="rId66" Type="http://schemas.openxmlformats.org/officeDocument/2006/relationships/hyperlink" Target="http://osf.io/qfm2g" TargetMode="External"/><Relationship Id="rId87" Type="http://schemas.openxmlformats.org/officeDocument/2006/relationships/hyperlink" Target="https://osf.io/zctg7/?view_only=938e6cfa596a4ca2a84ec0f372feff94" TargetMode="External"/><Relationship Id="rId110" Type="http://schemas.openxmlformats.org/officeDocument/2006/relationships/hyperlink" Target="http://osf.io/rdkm2" TargetMode="External"/><Relationship Id="rId115" Type="http://schemas.openxmlformats.org/officeDocument/2006/relationships/hyperlink" Target="https://osf.io/c53qr/?view_only=a92ebf33ba5f44a69a410b1a56d3bad6" TargetMode="External"/><Relationship Id="rId131" Type="http://schemas.openxmlformats.org/officeDocument/2006/relationships/hyperlink" Target="https://osf.io/5bx9q/?view_only=bff7938ef07645a0a8c83e131f39114f" TargetMode="External"/><Relationship Id="rId136" Type="http://schemas.openxmlformats.org/officeDocument/2006/relationships/hyperlink" Target="http://osf.io/cesk7" TargetMode="External"/><Relationship Id="rId157" Type="http://schemas.openxmlformats.org/officeDocument/2006/relationships/hyperlink" Target="https://osf.io/jspz3/?view_only=6d6f88c3b32f497eaaca030f8fc594b4" TargetMode="External"/><Relationship Id="rId178" Type="http://schemas.openxmlformats.org/officeDocument/2006/relationships/hyperlink" Target="http://osf.io/93svw" TargetMode="External"/><Relationship Id="rId61" Type="http://schemas.openxmlformats.org/officeDocument/2006/relationships/hyperlink" Target="https://osf.io/eafs2/?view_only=accf9c2a6e9c473aa75ff51b96d2f19d" TargetMode="External"/><Relationship Id="rId82" Type="http://schemas.openxmlformats.org/officeDocument/2006/relationships/hyperlink" Target="http://osf.io/w9748" TargetMode="External"/><Relationship Id="rId152" Type="http://schemas.openxmlformats.org/officeDocument/2006/relationships/hyperlink" Target="http://osf.io/myaew" TargetMode="External"/><Relationship Id="rId173" Type="http://schemas.openxmlformats.org/officeDocument/2006/relationships/hyperlink" Target="https://osf.io/u7rqk/?view_only=8c59f20788fa4cd79d43c619c96fedf1" TargetMode="External"/><Relationship Id="rId194" Type="http://schemas.openxmlformats.org/officeDocument/2006/relationships/hyperlink" Target="http://osf.io/u6h2x" TargetMode="External"/><Relationship Id="rId199" Type="http://schemas.openxmlformats.org/officeDocument/2006/relationships/hyperlink" Target="https://osf.io/ek3tm/?view_only=68d4ca083252477883e1099573e4474f" TargetMode="External"/><Relationship Id="rId19" Type="http://schemas.openxmlformats.org/officeDocument/2006/relationships/hyperlink" Target="https://osf.io/gpz8h/?view_only=596b97e1bbbc4463ab0887eb399fa019" TargetMode="External"/><Relationship Id="rId14" Type="http://schemas.openxmlformats.org/officeDocument/2006/relationships/hyperlink" Target="http://osf.io/ex5n7" TargetMode="External"/><Relationship Id="rId30" Type="http://schemas.openxmlformats.org/officeDocument/2006/relationships/hyperlink" Target="http://osf.io/78re2" TargetMode="External"/><Relationship Id="rId35" Type="http://schemas.openxmlformats.org/officeDocument/2006/relationships/hyperlink" Target="https://osf.io/z7mfu/?view_only=277b7d18bb24436eb5cfca69a07eb07a" TargetMode="External"/><Relationship Id="rId56" Type="http://schemas.openxmlformats.org/officeDocument/2006/relationships/hyperlink" Target="http://osf.io/fdz6n" TargetMode="External"/><Relationship Id="rId77" Type="http://schemas.openxmlformats.org/officeDocument/2006/relationships/hyperlink" Target="https://osf.io/frjxy/?view_only=efd3b9ff818a46948ed766f21e151798" TargetMode="External"/><Relationship Id="rId100" Type="http://schemas.openxmlformats.org/officeDocument/2006/relationships/hyperlink" Target="http://osf.io/ypru4" TargetMode="External"/><Relationship Id="rId105" Type="http://schemas.openxmlformats.org/officeDocument/2006/relationships/hyperlink" Target="https://osf.io/3j72h/?view_only=5b822a6c354940c5a5127c97d2c588fd" TargetMode="External"/><Relationship Id="rId126" Type="http://schemas.openxmlformats.org/officeDocument/2006/relationships/hyperlink" Target="http://osf.io/zjgbt" TargetMode="External"/><Relationship Id="rId147" Type="http://schemas.openxmlformats.org/officeDocument/2006/relationships/hyperlink" Target="https://osf.io/b69xv/?view_only=8471d18b7ba244449cc2bad7ab4980a7" TargetMode="External"/><Relationship Id="rId168" Type="http://schemas.openxmlformats.org/officeDocument/2006/relationships/hyperlink" Target="http://osf.io/mnafb" TargetMode="External"/><Relationship Id="rId8" Type="http://schemas.openxmlformats.org/officeDocument/2006/relationships/hyperlink" Target="http://osf.io/fw69k" TargetMode="External"/><Relationship Id="rId51" Type="http://schemas.openxmlformats.org/officeDocument/2006/relationships/hyperlink" Target="https://osf.io/9jzrb/?view_only=c673179c43a0451f8a75440470359986" TargetMode="External"/><Relationship Id="rId72" Type="http://schemas.openxmlformats.org/officeDocument/2006/relationships/hyperlink" Target="http://osf.io/897h4" TargetMode="External"/><Relationship Id="rId93" Type="http://schemas.openxmlformats.org/officeDocument/2006/relationships/hyperlink" Target="https://osf.io/sfmce/?view_only=ddeea3414abc4f3ea43bb8978bd44d3c" TargetMode="External"/><Relationship Id="rId98" Type="http://schemas.openxmlformats.org/officeDocument/2006/relationships/hyperlink" Target="http://osf.io/xu3k7" TargetMode="External"/><Relationship Id="rId121" Type="http://schemas.openxmlformats.org/officeDocument/2006/relationships/hyperlink" Target="https://osf.io/vhmgc/?view_only=5c6bedb36b2549a88ac137d6c746bcb8" TargetMode="External"/><Relationship Id="rId142" Type="http://schemas.openxmlformats.org/officeDocument/2006/relationships/hyperlink" Target="http://osf.io/38rsh" TargetMode="External"/><Relationship Id="rId163" Type="http://schemas.openxmlformats.org/officeDocument/2006/relationships/hyperlink" Target="https://osf.io/dj9y5/?view_only=0e5a1b26c8974ebb866f83af3dc7e10d" TargetMode="External"/><Relationship Id="rId184" Type="http://schemas.openxmlformats.org/officeDocument/2006/relationships/hyperlink" Target="http://osf.io/9uwxt" TargetMode="External"/><Relationship Id="rId189" Type="http://schemas.openxmlformats.org/officeDocument/2006/relationships/hyperlink" Target="https://osf.io/9jxeg/?view_only=dc953c191af447c2909954eba8a74310" TargetMode="External"/><Relationship Id="rId3" Type="http://schemas.openxmlformats.org/officeDocument/2006/relationships/hyperlink" Target="https://osf.io/nw5ve/?view_only=da75830db2534048b96504eca4444f11" TargetMode="External"/><Relationship Id="rId25" Type="http://schemas.openxmlformats.org/officeDocument/2006/relationships/hyperlink" Target="https://osf.io/8xq95/?view_only=f00ab18c5cf94087994e3bb0740ddad1" TargetMode="External"/><Relationship Id="rId46" Type="http://schemas.openxmlformats.org/officeDocument/2006/relationships/hyperlink" Target="http://osf.io/ktp8d" TargetMode="External"/><Relationship Id="rId67" Type="http://schemas.openxmlformats.org/officeDocument/2006/relationships/hyperlink" Target="https://osf.io/2msnc/?view_only=e52bdf1e404046ddbb5d0f0088edad8f" TargetMode="External"/><Relationship Id="rId116" Type="http://schemas.openxmlformats.org/officeDocument/2006/relationships/hyperlink" Target="http://osf.io/3k2jc" TargetMode="External"/><Relationship Id="rId137" Type="http://schemas.openxmlformats.org/officeDocument/2006/relationships/hyperlink" Target="https://osf.io/x8mhf/?view_only=b1f6a50dd15d4a819745b35bf069dee7" TargetMode="External"/><Relationship Id="rId158" Type="http://schemas.openxmlformats.org/officeDocument/2006/relationships/hyperlink" Target="http://osf.io/6mpv4" TargetMode="External"/><Relationship Id="rId20" Type="http://schemas.openxmlformats.org/officeDocument/2006/relationships/hyperlink" Target="http://osf.io/nq638" TargetMode="External"/><Relationship Id="rId41" Type="http://schemas.openxmlformats.org/officeDocument/2006/relationships/hyperlink" Target="https://osf.io/rqukb/?view_only=95410e175e3c4583adcf5a14cf10b67b" TargetMode="External"/><Relationship Id="rId62" Type="http://schemas.openxmlformats.org/officeDocument/2006/relationships/hyperlink" Target="http://osf.io/8w4se" TargetMode="External"/><Relationship Id="rId83" Type="http://schemas.openxmlformats.org/officeDocument/2006/relationships/hyperlink" Target="https://osf.io/hw3p4/?view_only=db05a8b5dc674e5185329ed139f47551" TargetMode="External"/><Relationship Id="rId88" Type="http://schemas.openxmlformats.org/officeDocument/2006/relationships/hyperlink" Target="http://osf.io/a6s2z" TargetMode="External"/><Relationship Id="rId111" Type="http://schemas.openxmlformats.org/officeDocument/2006/relationships/hyperlink" Target="https://osf.io/whp4b/?view_only=9ff92fcdae304245b673258f23c24688" TargetMode="External"/><Relationship Id="rId132" Type="http://schemas.openxmlformats.org/officeDocument/2006/relationships/hyperlink" Target="http://osf.io/tz2cj" TargetMode="External"/><Relationship Id="rId153" Type="http://schemas.openxmlformats.org/officeDocument/2006/relationships/hyperlink" Target="https://osf.io/vrd38/?view_only=32788d6a03f64452812b3063432d9dbc" TargetMode="External"/><Relationship Id="rId174" Type="http://schemas.openxmlformats.org/officeDocument/2006/relationships/hyperlink" Target="http://osf.io/83r6j" TargetMode="External"/><Relationship Id="rId179" Type="http://schemas.openxmlformats.org/officeDocument/2006/relationships/hyperlink" Target="https://osf.io/8g6rt/?view_only=6e871f7c26314c96925060b69080be3d" TargetMode="External"/><Relationship Id="rId195" Type="http://schemas.openxmlformats.org/officeDocument/2006/relationships/hyperlink" Target="https://osf.io/9n8uh/?view_only=da0997f5653742919627c78f1a747bec" TargetMode="External"/><Relationship Id="rId190" Type="http://schemas.openxmlformats.org/officeDocument/2006/relationships/hyperlink" Target="http://osf.io/hfr9q" TargetMode="External"/><Relationship Id="rId15" Type="http://schemas.openxmlformats.org/officeDocument/2006/relationships/hyperlink" Target="https://osf.io/xjwa6/?view_only=9f4f22856314419d9e65f88a8accfaa5" TargetMode="External"/><Relationship Id="rId36" Type="http://schemas.openxmlformats.org/officeDocument/2006/relationships/hyperlink" Target="http://osf.io/fqzby" TargetMode="External"/><Relationship Id="rId57" Type="http://schemas.openxmlformats.org/officeDocument/2006/relationships/hyperlink" Target="https://osf.io/8aj9x/?view_only=07febbbc36734ef7a5096c448d3d03de" TargetMode="External"/><Relationship Id="rId106" Type="http://schemas.openxmlformats.org/officeDocument/2006/relationships/hyperlink" Target="http://osf.io/4va7x" TargetMode="External"/><Relationship Id="rId127" Type="http://schemas.openxmlformats.org/officeDocument/2006/relationships/hyperlink" Target="https://osf.io/k7xzy/?view_only=c1f2b9aaf05d486c942783efd8ec57ec" TargetMode="External"/><Relationship Id="rId10" Type="http://schemas.openxmlformats.org/officeDocument/2006/relationships/hyperlink" Target="http://osf.io/nz9br" TargetMode="External"/><Relationship Id="rId31" Type="http://schemas.openxmlformats.org/officeDocument/2006/relationships/hyperlink" Target="https://osf.io/vx54u/?view_only=6c87f474dc594070817403ed417a041d" TargetMode="External"/><Relationship Id="rId52" Type="http://schemas.openxmlformats.org/officeDocument/2006/relationships/hyperlink" Target="http://osf.io/j4t9q" TargetMode="External"/><Relationship Id="rId73" Type="http://schemas.openxmlformats.org/officeDocument/2006/relationships/hyperlink" Target="https://osf.io/3ypmb/?view_only=32e5fa393e44442b997bee188318394c" TargetMode="External"/><Relationship Id="rId78" Type="http://schemas.openxmlformats.org/officeDocument/2006/relationships/hyperlink" Target="http://osf.io/4nwu7" TargetMode="External"/><Relationship Id="rId94" Type="http://schemas.openxmlformats.org/officeDocument/2006/relationships/hyperlink" Target="http://osf.io/wabr3" TargetMode="External"/><Relationship Id="rId99" Type="http://schemas.openxmlformats.org/officeDocument/2006/relationships/hyperlink" Target="https://osf.io/xja7w/?view_only=1fea7a5e06094923864ced208c77aa05" TargetMode="External"/><Relationship Id="rId101" Type="http://schemas.openxmlformats.org/officeDocument/2006/relationships/hyperlink" Target="https://osf.io/jgvm8/?view_only=fc62ff463b964e538090634560624854" TargetMode="External"/><Relationship Id="rId122" Type="http://schemas.openxmlformats.org/officeDocument/2006/relationships/hyperlink" Target="http://osf.io/k769h" TargetMode="External"/><Relationship Id="rId143" Type="http://schemas.openxmlformats.org/officeDocument/2006/relationships/hyperlink" Target="https://osf.io/hdt23/?view_only=d989cee72b044946bb6a3de3572d501e" TargetMode="External"/><Relationship Id="rId148" Type="http://schemas.openxmlformats.org/officeDocument/2006/relationships/hyperlink" Target="https://osf.io/gxm3a/" TargetMode="External"/><Relationship Id="rId164" Type="http://schemas.openxmlformats.org/officeDocument/2006/relationships/hyperlink" Target="http://osf.io/6r59k" TargetMode="External"/><Relationship Id="rId169" Type="http://schemas.openxmlformats.org/officeDocument/2006/relationships/hyperlink" Target="https://osf.io/jau7k/?view_only=574522a43ee242faafa6c9f542028e9a" TargetMode="External"/><Relationship Id="rId185" Type="http://schemas.openxmlformats.org/officeDocument/2006/relationships/hyperlink" Target="https://osf.io/c8u5q/?view_only=855e0adec1db4515ab44f1e993be6228" TargetMode="External"/><Relationship Id="rId4" Type="http://schemas.openxmlformats.org/officeDocument/2006/relationships/hyperlink" Target="http://osf.io/8bdja" TargetMode="External"/><Relationship Id="rId9" Type="http://schemas.openxmlformats.org/officeDocument/2006/relationships/hyperlink" Target="https://osf.io/fh7k4/?view_only=bfb667322dba4c1ca47404da7a38b156" TargetMode="External"/><Relationship Id="rId180" Type="http://schemas.openxmlformats.org/officeDocument/2006/relationships/hyperlink" Target="http://osf.io/ge5ba" TargetMode="External"/><Relationship Id="rId26" Type="http://schemas.openxmlformats.org/officeDocument/2006/relationships/hyperlink" Target="http://osf.io/qcrf5" TargetMode="External"/><Relationship Id="rId47" Type="http://schemas.openxmlformats.org/officeDocument/2006/relationships/hyperlink" Target="https://osf.io/8aus5/?view_only=1a2cfb0d105440c589e2e0a05cba31f0" TargetMode="External"/><Relationship Id="rId68" Type="http://schemas.openxmlformats.org/officeDocument/2006/relationships/hyperlink" Target="http://osf.io/9qfdp" TargetMode="External"/><Relationship Id="rId89" Type="http://schemas.openxmlformats.org/officeDocument/2006/relationships/hyperlink" Target="https://osf.io/b849q/?view_only=344f7344bd77441a9acc9151904d943a" TargetMode="External"/><Relationship Id="rId112" Type="http://schemas.openxmlformats.org/officeDocument/2006/relationships/hyperlink" Target="http://osf.io/gr8u6" TargetMode="External"/><Relationship Id="rId133" Type="http://schemas.openxmlformats.org/officeDocument/2006/relationships/hyperlink" Target="https://osf.io/hjvm2/?view_only=887d789f05a141cf8a6a30f4dc8125f6" TargetMode="External"/><Relationship Id="rId154" Type="http://schemas.openxmlformats.org/officeDocument/2006/relationships/hyperlink" Target="http://osf.io/85dxq" TargetMode="External"/><Relationship Id="rId175" Type="http://schemas.openxmlformats.org/officeDocument/2006/relationships/hyperlink" Target="https://osf.io/7pmqx/?view_only=e37372f705d24569bfaa94cae40a83c5" TargetMode="External"/><Relationship Id="rId196" Type="http://schemas.openxmlformats.org/officeDocument/2006/relationships/hyperlink" Target="http://osf.io/ythrv" TargetMode="External"/><Relationship Id="rId200" Type="http://schemas.openxmlformats.org/officeDocument/2006/relationships/hyperlink" Target="http://osf.io/deyax" TargetMode="External"/><Relationship Id="rId16" Type="http://schemas.openxmlformats.org/officeDocument/2006/relationships/hyperlink" Target="http://osf.io/n78pt" TargetMode="External"/><Relationship Id="rId37" Type="http://schemas.openxmlformats.org/officeDocument/2006/relationships/hyperlink" Target="https://osf.io/9zuwg/?view_only=30a25ee80fc947bfbf125c6efaa3fb3e" TargetMode="External"/><Relationship Id="rId58" Type="http://schemas.openxmlformats.org/officeDocument/2006/relationships/hyperlink" Target="http://osf.io/4pyua" TargetMode="External"/><Relationship Id="rId79" Type="http://schemas.openxmlformats.org/officeDocument/2006/relationships/hyperlink" Target="https://osf.io/2uwdz/?view_only=49923ceff1ac4a4bb46dff76dfa19d8e" TargetMode="External"/><Relationship Id="rId102" Type="http://schemas.openxmlformats.org/officeDocument/2006/relationships/hyperlink" Target="http://osf.io/nk2sp" TargetMode="External"/><Relationship Id="rId123" Type="http://schemas.openxmlformats.org/officeDocument/2006/relationships/hyperlink" Target="https://osf.io/hvfg7/?view_only=a2100fedaf8e4088ad568dec9076bf77" TargetMode="External"/><Relationship Id="rId144" Type="http://schemas.openxmlformats.org/officeDocument/2006/relationships/hyperlink" Target="http://osf.io/pmg3x" TargetMode="External"/><Relationship Id="rId90" Type="http://schemas.openxmlformats.org/officeDocument/2006/relationships/hyperlink" Target="http://osf.io/5qdpv" TargetMode="External"/><Relationship Id="rId165" Type="http://schemas.openxmlformats.org/officeDocument/2006/relationships/hyperlink" Target="https://osf.io/dhqt3/?view_only=ac9bb6624be940c4988a3ecbc77ea2d8" TargetMode="External"/><Relationship Id="rId186" Type="http://schemas.openxmlformats.org/officeDocument/2006/relationships/hyperlink" Target="http://osf.io/nbtpy" TargetMode="External"/><Relationship Id="rId27" Type="http://schemas.openxmlformats.org/officeDocument/2006/relationships/hyperlink" Target="https://osf.io/mdh4x/?view_only=80fa4a04145e4d0c84a63ac6ee80ca61" TargetMode="External"/><Relationship Id="rId48" Type="http://schemas.openxmlformats.org/officeDocument/2006/relationships/hyperlink" Target="http://osf.io/cwj6v" TargetMode="External"/><Relationship Id="rId69" Type="http://schemas.openxmlformats.org/officeDocument/2006/relationships/hyperlink" Target="https://osf.io/9zamr/?view_only=fdbd5826569248f5b7de46e2182d9bdc" TargetMode="External"/><Relationship Id="rId113" Type="http://schemas.openxmlformats.org/officeDocument/2006/relationships/hyperlink" Target="https://osf.io/gv4mc/?view_only=fe2066d5a3ac4036bae682b721b4f026" TargetMode="External"/><Relationship Id="rId134" Type="http://schemas.openxmlformats.org/officeDocument/2006/relationships/hyperlink" Target="http://osf.io/qzk3j" TargetMode="External"/><Relationship Id="rId80" Type="http://schemas.openxmlformats.org/officeDocument/2006/relationships/hyperlink" Target="http://osf.io/zc82a" TargetMode="External"/><Relationship Id="rId155" Type="http://schemas.openxmlformats.org/officeDocument/2006/relationships/hyperlink" Target="https://osf.io/qrtpy/?view_only=be11c20118104b5a84585c59bb27f54d" TargetMode="External"/><Relationship Id="rId176" Type="http://schemas.openxmlformats.org/officeDocument/2006/relationships/hyperlink" Target="http://osf.io/6xe2v" TargetMode="External"/><Relationship Id="rId197" Type="http://schemas.openxmlformats.org/officeDocument/2006/relationships/hyperlink" Target="https://osf.io/u8x9s/?view_only=df61ea3e019f4d42957e0e0e4f8281f1" TargetMode="External"/><Relationship Id="rId201" Type="http://schemas.openxmlformats.org/officeDocument/2006/relationships/vmlDrawing" Target="../drawings/vmlDrawing1.vml"/><Relationship Id="rId17" Type="http://schemas.openxmlformats.org/officeDocument/2006/relationships/hyperlink" Target="https://osf.io/vsxwz/?view_only=7aa6fa69c01b47fdb4b52a46bb4bb31b" TargetMode="External"/><Relationship Id="rId38" Type="http://schemas.openxmlformats.org/officeDocument/2006/relationships/hyperlink" Target="http://osf.io/2yjrv" TargetMode="External"/><Relationship Id="rId59" Type="http://schemas.openxmlformats.org/officeDocument/2006/relationships/hyperlink" Target="https://osf.io/53zr4/?view_only=23266f8b78cb47a98c8bc724fa0e4e7b" TargetMode="External"/><Relationship Id="rId103" Type="http://schemas.openxmlformats.org/officeDocument/2006/relationships/hyperlink" Target="https://osf.io/avj8y/?view_only=978a4c4cd219427c9f529a1128478dc7" TargetMode="External"/><Relationship Id="rId124" Type="http://schemas.openxmlformats.org/officeDocument/2006/relationships/hyperlink" Target="http://osf.io/d6h3a" TargetMode="External"/><Relationship Id="rId70" Type="http://schemas.openxmlformats.org/officeDocument/2006/relationships/hyperlink" Target="http://osf.io/pzfjq" TargetMode="External"/><Relationship Id="rId91" Type="http://schemas.openxmlformats.org/officeDocument/2006/relationships/hyperlink" Target="https://osf.io/yugef/?view_only=5e161941572c4d44a569385a9bbd8131" TargetMode="External"/><Relationship Id="rId145" Type="http://schemas.openxmlformats.org/officeDocument/2006/relationships/hyperlink" Target="https://osf.io/4yhnc/?view_only=1ef43c337a3d47f7985f292e48859626" TargetMode="External"/><Relationship Id="rId166" Type="http://schemas.openxmlformats.org/officeDocument/2006/relationships/hyperlink" Target="http://osf.io/3zy9b" TargetMode="External"/><Relationship Id="rId187" Type="http://schemas.openxmlformats.org/officeDocument/2006/relationships/hyperlink" Target="https://osf.io/v4qnm/?view_only=680b15e6531d43de8cddf213ddb63608" TargetMode="External"/><Relationship Id="rId1" Type="http://schemas.openxmlformats.org/officeDocument/2006/relationships/hyperlink" Target="https://osf.io/d3bgc/?view_only=b396679c3b154e0096c9a0191b3a0dfc" TargetMode="External"/><Relationship Id="rId28" Type="http://schemas.openxmlformats.org/officeDocument/2006/relationships/hyperlink" Target="http://osf.io/xj78c" TargetMode="External"/><Relationship Id="rId49" Type="http://schemas.openxmlformats.org/officeDocument/2006/relationships/hyperlink" Target="https://osf.io/cah3f/?view_only=8b958c4f12184a3c83de406ec26e8a05" TargetMode="External"/><Relationship Id="rId114" Type="http://schemas.openxmlformats.org/officeDocument/2006/relationships/hyperlink" Target="http://osf.io/vb7p9" TargetMode="External"/><Relationship Id="rId60" Type="http://schemas.openxmlformats.org/officeDocument/2006/relationships/hyperlink" Target="http://osf.io/rmv32" TargetMode="External"/><Relationship Id="rId81" Type="http://schemas.openxmlformats.org/officeDocument/2006/relationships/hyperlink" Target="https://osf.io/snjqw/?view_only=8db89c70f66842f5addd9f01feb412d1" TargetMode="External"/><Relationship Id="rId135" Type="http://schemas.openxmlformats.org/officeDocument/2006/relationships/hyperlink" Target="https://osf.io/8xzur/?view_only=cd34533283e24371aa11d08b35addc14" TargetMode="External"/><Relationship Id="rId156" Type="http://schemas.openxmlformats.org/officeDocument/2006/relationships/hyperlink" Target="http://osf.io/gzyr3" TargetMode="External"/><Relationship Id="rId177" Type="http://schemas.openxmlformats.org/officeDocument/2006/relationships/hyperlink" Target="https://osf.io/rhxym/?view_only=08f01c53a3574bee91c0dc4923a0c514" TargetMode="External"/><Relationship Id="rId198" Type="http://schemas.openxmlformats.org/officeDocument/2006/relationships/hyperlink" Target="http://osf.io/b69nv" TargetMode="External"/><Relationship Id="rId202" Type="http://schemas.openxmlformats.org/officeDocument/2006/relationships/comments" Target="../comments1.xml"/><Relationship Id="rId18" Type="http://schemas.openxmlformats.org/officeDocument/2006/relationships/hyperlink" Target="http://osf.io/f6vs9" TargetMode="External"/><Relationship Id="rId39" Type="http://schemas.openxmlformats.org/officeDocument/2006/relationships/hyperlink" Target="https://osf.io/ezuas/?view_only=39b38f8f5eb4435d9d525d63caf5432d" TargetMode="External"/><Relationship Id="rId50" Type="http://schemas.openxmlformats.org/officeDocument/2006/relationships/hyperlink" Target="http://osf.io/93zea" TargetMode="External"/><Relationship Id="rId104" Type="http://schemas.openxmlformats.org/officeDocument/2006/relationships/hyperlink" Target="http://osf.io/7cf6m" TargetMode="External"/><Relationship Id="rId125" Type="http://schemas.openxmlformats.org/officeDocument/2006/relationships/hyperlink" Target="https://osf.io/6hjb9/?view_only=4c11d31582a24fa1b7f578830523d1fb" TargetMode="External"/><Relationship Id="rId146" Type="http://schemas.openxmlformats.org/officeDocument/2006/relationships/hyperlink" Target="http://osf.io/tzvgs" TargetMode="External"/><Relationship Id="rId167" Type="http://schemas.openxmlformats.org/officeDocument/2006/relationships/hyperlink" Target="https://osf.io/tbr2x/?view_only=517aa8eb980540b8871d166e7849fe4a" TargetMode="External"/><Relationship Id="rId188" Type="http://schemas.openxmlformats.org/officeDocument/2006/relationships/hyperlink" Target="http://osf.io/2rqvu" TargetMode="External"/><Relationship Id="rId71" Type="http://schemas.openxmlformats.org/officeDocument/2006/relationships/hyperlink" Target="https://osf.io/cmjxw/?view_only=c54a3d86c316466088f8d0d68372075f" TargetMode="External"/><Relationship Id="rId92" Type="http://schemas.openxmlformats.org/officeDocument/2006/relationships/hyperlink" Target="http://osf.io/qfng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0"/>
  <sheetViews>
    <sheetView tabSelected="1" workbookViewId="0">
      <pane xSplit="2" ySplit="1" topLeftCell="C89" activePane="bottomRight" state="frozen"/>
      <selection pane="topRight" activeCell="C1" sqref="C1"/>
      <selection pane="bottomLeft" activeCell="A2" sqref="A2"/>
      <selection pane="bottomRight" activeCell="B91" sqref="B91"/>
    </sheetView>
  </sheetViews>
  <sheetFormatPr defaultColWidth="12.6640625" defaultRowHeight="15" customHeight="1" x14ac:dyDescent="0.25"/>
  <cols>
    <col min="1" max="1" width="46.88671875" customWidth="1"/>
    <col min="2" max="2" width="41.88671875" customWidth="1"/>
    <col min="3" max="3" width="18.33203125" customWidth="1"/>
    <col min="4" max="4" width="26.44140625" customWidth="1"/>
    <col min="5" max="5" width="24.44140625" customWidth="1"/>
    <col min="6" max="6" width="27.21875" customWidth="1"/>
    <col min="7" max="7" width="39.77734375" customWidth="1"/>
    <col min="8" max="8" width="30.6640625" customWidth="1"/>
    <col min="9" max="9" width="40.77734375" customWidth="1"/>
    <col min="10" max="10" width="23.88671875" customWidth="1"/>
    <col min="11" max="11" width="16.33203125" customWidth="1"/>
    <col min="12" max="12" width="23.88671875" customWidth="1"/>
    <col min="13" max="13" width="27.77734375" customWidth="1"/>
    <col min="14" max="18" width="10.77734375" customWidth="1"/>
    <col min="19" max="19" width="12.77734375" customWidth="1"/>
    <col min="20" max="20" width="23.88671875" customWidth="1"/>
  </cols>
  <sheetData>
    <row r="1" spans="1:20" ht="159.75" customHeight="1" x14ac:dyDescent="0.25">
      <c r="A1" s="1" t="s">
        <v>0</v>
      </c>
      <c r="B1" s="1" t="s">
        <v>1</v>
      </c>
      <c r="C1" s="1" t="s">
        <v>2</v>
      </c>
      <c r="D1" s="1" t="s">
        <v>3</v>
      </c>
      <c r="E1" s="1" t="s">
        <v>4</v>
      </c>
      <c r="F1" s="3" t="s">
        <v>5</v>
      </c>
      <c r="G1" s="3" t="s">
        <v>7</v>
      </c>
      <c r="H1" s="1" t="s">
        <v>9</v>
      </c>
      <c r="I1" s="1" t="s">
        <v>10</v>
      </c>
      <c r="J1" s="1" t="s">
        <v>12</v>
      </c>
      <c r="K1" s="1" t="s">
        <v>14</v>
      </c>
      <c r="L1" s="1" t="s">
        <v>15</v>
      </c>
      <c r="M1" s="1" t="s">
        <v>16</v>
      </c>
      <c r="N1" s="1" t="s">
        <v>17</v>
      </c>
      <c r="O1" s="1" t="s">
        <v>18</v>
      </c>
      <c r="P1" s="1" t="s">
        <v>20</v>
      </c>
      <c r="Q1" s="1" t="s">
        <v>22</v>
      </c>
      <c r="R1" s="1" t="s">
        <v>23</v>
      </c>
      <c r="S1" s="1" t="s">
        <v>25</v>
      </c>
      <c r="T1" s="1" t="s">
        <v>27</v>
      </c>
    </row>
    <row r="2" spans="1:20" ht="96.75" customHeight="1" x14ac:dyDescent="0.3">
      <c r="A2" s="7" t="s">
        <v>28</v>
      </c>
      <c r="B2" s="4" t="s">
        <v>30</v>
      </c>
      <c r="C2" s="4" t="s">
        <v>32</v>
      </c>
      <c r="D2" s="4" t="s">
        <v>33</v>
      </c>
      <c r="E2" s="4" t="s">
        <v>34</v>
      </c>
      <c r="F2" s="4">
        <v>1</v>
      </c>
      <c r="G2" s="4" t="s">
        <v>36</v>
      </c>
      <c r="H2" s="8" t="s">
        <v>38</v>
      </c>
      <c r="I2" s="9" t="s">
        <v>39</v>
      </c>
      <c r="J2" s="4" t="s">
        <v>42</v>
      </c>
      <c r="K2" s="10" t="s">
        <v>43</v>
      </c>
      <c r="L2" s="11" t="s">
        <v>44</v>
      </c>
      <c r="M2" s="7" t="s">
        <v>63</v>
      </c>
      <c r="N2" s="7" t="s">
        <v>67</v>
      </c>
      <c r="O2" s="7">
        <v>3.5781000000000001</v>
      </c>
      <c r="P2" s="4">
        <v>15</v>
      </c>
      <c r="Q2" s="4"/>
      <c r="R2" s="4">
        <v>64</v>
      </c>
      <c r="S2" s="4" t="s">
        <v>71</v>
      </c>
      <c r="T2" s="12" t="s">
        <v>72</v>
      </c>
    </row>
    <row r="3" spans="1:20" ht="69" customHeight="1" x14ac:dyDescent="0.3">
      <c r="A3" s="7" t="s">
        <v>77</v>
      </c>
      <c r="B3" s="4" t="s">
        <v>78</v>
      </c>
      <c r="C3" s="4" t="s">
        <v>32</v>
      </c>
      <c r="D3" s="4" t="s">
        <v>33</v>
      </c>
      <c r="E3" s="4" t="s">
        <v>34</v>
      </c>
      <c r="F3" s="4">
        <v>1</v>
      </c>
      <c r="G3" s="4" t="s">
        <v>36</v>
      </c>
      <c r="H3" s="8" t="s">
        <v>81</v>
      </c>
      <c r="I3" s="9" t="s">
        <v>82</v>
      </c>
      <c r="J3" s="13" t="s">
        <v>83</v>
      </c>
      <c r="K3" s="10" t="s">
        <v>84</v>
      </c>
      <c r="L3" s="11" t="s">
        <v>85</v>
      </c>
      <c r="M3" s="7" t="s">
        <v>94</v>
      </c>
      <c r="N3" s="7" t="s">
        <v>67</v>
      </c>
      <c r="O3" s="7">
        <v>4.8822000000000001</v>
      </c>
      <c r="P3" s="4">
        <v>574</v>
      </c>
      <c r="Q3" s="4"/>
      <c r="R3" s="4">
        <v>631</v>
      </c>
      <c r="S3" s="4" t="s">
        <v>97</v>
      </c>
      <c r="T3" s="14" t="s">
        <v>98</v>
      </c>
    </row>
    <row r="4" spans="1:20" ht="69" customHeight="1" x14ac:dyDescent="0.3">
      <c r="A4" s="7" t="s">
        <v>103</v>
      </c>
      <c r="B4" s="4" t="s">
        <v>104</v>
      </c>
      <c r="C4" s="4" t="s">
        <v>107</v>
      </c>
      <c r="D4" s="4" t="s">
        <v>33</v>
      </c>
      <c r="E4" s="4" t="s">
        <v>34</v>
      </c>
      <c r="F4" s="4">
        <v>1</v>
      </c>
      <c r="G4" s="4" t="s">
        <v>108</v>
      </c>
      <c r="H4" s="16" t="s">
        <v>109</v>
      </c>
      <c r="I4" s="9" t="s">
        <v>110</v>
      </c>
      <c r="J4" s="13" t="s">
        <v>111</v>
      </c>
      <c r="K4" s="10" t="s">
        <v>112</v>
      </c>
      <c r="L4" s="11" t="s">
        <v>113</v>
      </c>
      <c r="M4" s="19" t="s">
        <v>114</v>
      </c>
      <c r="N4" s="7" t="s">
        <v>67</v>
      </c>
      <c r="O4" s="7" t="s">
        <v>115</v>
      </c>
      <c r="P4" s="4">
        <v>27.86</v>
      </c>
      <c r="Q4" s="4"/>
      <c r="R4" s="4">
        <v>48</v>
      </c>
      <c r="S4" s="4" t="s">
        <v>116</v>
      </c>
      <c r="T4" s="12" t="s">
        <v>117</v>
      </c>
    </row>
    <row r="5" spans="1:20" ht="69" customHeight="1" x14ac:dyDescent="0.3">
      <c r="A5" s="7" t="s">
        <v>118</v>
      </c>
      <c r="B5" s="4" t="s">
        <v>119</v>
      </c>
      <c r="C5" s="4" t="s">
        <v>107</v>
      </c>
      <c r="D5" s="4" t="s">
        <v>33</v>
      </c>
      <c r="E5" s="4" t="s">
        <v>34</v>
      </c>
      <c r="F5" s="4">
        <v>1</v>
      </c>
      <c r="G5" s="4" t="s">
        <v>36</v>
      </c>
      <c r="H5" s="16" t="s">
        <v>120</v>
      </c>
      <c r="I5" s="9" t="s">
        <v>121</v>
      </c>
      <c r="J5" s="13" t="s">
        <v>122</v>
      </c>
      <c r="K5" s="10" t="s">
        <v>123</v>
      </c>
      <c r="L5" s="11" t="s">
        <v>124</v>
      </c>
      <c r="M5" s="7" t="s">
        <v>125</v>
      </c>
      <c r="N5" s="7" t="s">
        <v>126</v>
      </c>
      <c r="O5" s="7">
        <f>0.311/0.126</f>
        <v>2.4682539682539684</v>
      </c>
      <c r="P5" s="7"/>
      <c r="Q5" s="4"/>
      <c r="R5" s="20">
        <v>2989</v>
      </c>
      <c r="S5" s="4" t="s">
        <v>127</v>
      </c>
      <c r="T5" s="12" t="s">
        <v>128</v>
      </c>
    </row>
    <row r="6" spans="1:20" ht="69" customHeight="1" x14ac:dyDescent="0.3">
      <c r="A6" s="7" t="s">
        <v>129</v>
      </c>
      <c r="B6" s="4" t="s">
        <v>130</v>
      </c>
      <c r="C6" s="4" t="s">
        <v>107</v>
      </c>
      <c r="D6" s="4" t="s">
        <v>33</v>
      </c>
      <c r="E6" s="4" t="s">
        <v>34</v>
      </c>
      <c r="F6" s="4">
        <v>1</v>
      </c>
      <c r="G6" s="4" t="s">
        <v>108</v>
      </c>
      <c r="H6" s="16" t="s">
        <v>131</v>
      </c>
      <c r="I6" s="9" t="s">
        <v>132</v>
      </c>
      <c r="J6" s="13" t="s">
        <v>133</v>
      </c>
      <c r="K6" s="10" t="s">
        <v>134</v>
      </c>
      <c r="L6" s="21" t="s">
        <v>135</v>
      </c>
      <c r="M6" s="7" t="s">
        <v>136</v>
      </c>
      <c r="N6" s="7" t="s">
        <v>126</v>
      </c>
      <c r="O6" s="4">
        <v>-3.951476</v>
      </c>
      <c r="P6" s="4"/>
      <c r="Q6" s="4"/>
      <c r="R6" s="4">
        <v>428</v>
      </c>
      <c r="S6" s="4" t="s">
        <v>137</v>
      </c>
      <c r="T6" s="22" t="s">
        <v>138</v>
      </c>
    </row>
    <row r="7" spans="1:20" ht="69" customHeight="1" x14ac:dyDescent="0.3">
      <c r="A7" s="7" t="s">
        <v>139</v>
      </c>
      <c r="B7" s="4" t="s">
        <v>140</v>
      </c>
      <c r="C7" s="4" t="s">
        <v>141</v>
      </c>
      <c r="D7" s="4" t="s">
        <v>33</v>
      </c>
      <c r="E7" s="4" t="s">
        <v>34</v>
      </c>
      <c r="F7" s="4">
        <v>1</v>
      </c>
      <c r="G7" s="4" t="s">
        <v>142</v>
      </c>
      <c r="H7" s="16" t="s">
        <v>143</v>
      </c>
      <c r="I7" s="9" t="s">
        <v>144</v>
      </c>
      <c r="J7" s="13" t="s">
        <v>145</v>
      </c>
      <c r="K7" s="10" t="s">
        <v>146</v>
      </c>
      <c r="L7" s="11" t="s">
        <v>147</v>
      </c>
      <c r="M7" s="7" t="s">
        <v>148</v>
      </c>
      <c r="N7" s="7" t="s">
        <v>67</v>
      </c>
      <c r="O7" s="4">
        <v>2.2822870000000002</v>
      </c>
      <c r="P7" s="4">
        <v>169</v>
      </c>
      <c r="Q7" s="4"/>
      <c r="R7" s="4">
        <v>174</v>
      </c>
      <c r="S7" s="4" t="s">
        <v>149</v>
      </c>
      <c r="T7" s="22" t="s">
        <v>150</v>
      </c>
    </row>
    <row r="8" spans="1:20" ht="69" customHeight="1" x14ac:dyDescent="0.3">
      <c r="A8" s="7" t="s">
        <v>151</v>
      </c>
      <c r="B8" s="4" t="s">
        <v>152</v>
      </c>
      <c r="C8" s="4" t="s">
        <v>153</v>
      </c>
      <c r="D8" s="4" t="s">
        <v>154</v>
      </c>
      <c r="E8" s="4" t="s">
        <v>34</v>
      </c>
      <c r="F8" s="4">
        <v>1</v>
      </c>
      <c r="G8" s="4" t="s">
        <v>142</v>
      </c>
      <c r="H8" s="16" t="s">
        <v>155</v>
      </c>
      <c r="I8" s="9" t="s">
        <v>156</v>
      </c>
      <c r="J8" s="13" t="s">
        <v>157</v>
      </c>
      <c r="K8" s="10" t="s">
        <v>158</v>
      </c>
      <c r="L8" s="23" t="s">
        <v>159</v>
      </c>
      <c r="M8" s="7" t="s">
        <v>160</v>
      </c>
      <c r="N8" s="7" t="s">
        <v>126</v>
      </c>
      <c r="O8" s="24">
        <v>-2.1391499999999999</v>
      </c>
      <c r="P8" s="4"/>
      <c r="Q8" s="4"/>
      <c r="R8" s="20">
        <v>1354</v>
      </c>
      <c r="S8" s="4" t="s">
        <v>161</v>
      </c>
      <c r="T8" s="25" t="s">
        <v>162</v>
      </c>
    </row>
    <row r="9" spans="1:20" ht="69" customHeight="1" x14ac:dyDescent="0.3">
      <c r="A9" s="7" t="s">
        <v>163</v>
      </c>
      <c r="B9" s="4" t="s">
        <v>164</v>
      </c>
      <c r="C9" s="4" t="s">
        <v>32</v>
      </c>
      <c r="D9" s="4" t="s">
        <v>33</v>
      </c>
      <c r="E9" s="4" t="s">
        <v>34</v>
      </c>
      <c r="F9" s="4">
        <v>1</v>
      </c>
      <c r="G9" s="4" t="s">
        <v>36</v>
      </c>
      <c r="H9" s="16" t="s">
        <v>165</v>
      </c>
      <c r="I9" s="9" t="s">
        <v>166</v>
      </c>
      <c r="J9" s="13" t="s">
        <v>167</v>
      </c>
      <c r="K9" s="10" t="s">
        <v>168</v>
      </c>
      <c r="L9" s="23" t="s">
        <v>169</v>
      </c>
      <c r="M9" s="7" t="s">
        <v>170</v>
      </c>
      <c r="N9" s="7" t="s">
        <v>67</v>
      </c>
      <c r="O9" s="24">
        <v>1.72261</v>
      </c>
      <c r="P9" s="4">
        <v>1857</v>
      </c>
      <c r="Q9" s="4"/>
      <c r="R9" s="4">
        <v>1861</v>
      </c>
      <c r="S9" s="4" t="s">
        <v>171</v>
      </c>
      <c r="T9" s="14" t="s">
        <v>172</v>
      </c>
    </row>
    <row r="10" spans="1:20" ht="69" customHeight="1" x14ac:dyDescent="0.3">
      <c r="A10" s="7" t="s">
        <v>173</v>
      </c>
      <c r="B10" s="4" t="s">
        <v>174</v>
      </c>
      <c r="C10" s="4" t="s">
        <v>32</v>
      </c>
      <c r="D10" s="4" t="s">
        <v>33</v>
      </c>
      <c r="E10" s="4" t="s">
        <v>34</v>
      </c>
      <c r="F10" s="4">
        <v>1</v>
      </c>
      <c r="G10" s="4" t="s">
        <v>108</v>
      </c>
      <c r="H10" s="16" t="s">
        <v>175</v>
      </c>
      <c r="I10" s="9" t="s">
        <v>176</v>
      </c>
      <c r="J10" s="13" t="s">
        <v>177</v>
      </c>
      <c r="K10" s="10" t="s">
        <v>178</v>
      </c>
      <c r="L10" s="26" t="s">
        <v>179</v>
      </c>
      <c r="M10" s="7" t="s">
        <v>180</v>
      </c>
      <c r="N10" s="7" t="s">
        <v>67</v>
      </c>
      <c r="O10" s="7">
        <v>4.2300000000000004</v>
      </c>
      <c r="P10" s="4"/>
      <c r="Q10" s="4"/>
      <c r="R10" s="20">
        <v>871215</v>
      </c>
      <c r="S10" s="4" t="s">
        <v>181</v>
      </c>
      <c r="T10" s="22" t="s">
        <v>182</v>
      </c>
    </row>
    <row r="11" spans="1:20" ht="69" customHeight="1" x14ac:dyDescent="0.3">
      <c r="A11" s="7" t="s">
        <v>183</v>
      </c>
      <c r="B11" s="4" t="s">
        <v>184</v>
      </c>
      <c r="C11" s="4" t="s">
        <v>32</v>
      </c>
      <c r="D11" s="4" t="s">
        <v>33</v>
      </c>
      <c r="E11" s="4" t="s">
        <v>34</v>
      </c>
      <c r="F11" s="4">
        <v>1</v>
      </c>
      <c r="G11" s="4" t="s">
        <v>108</v>
      </c>
      <c r="H11" s="16" t="s">
        <v>185</v>
      </c>
      <c r="I11" s="9" t="s">
        <v>186</v>
      </c>
      <c r="J11" s="13" t="s">
        <v>187</v>
      </c>
      <c r="K11" s="10" t="s">
        <v>188</v>
      </c>
      <c r="L11" s="26" t="s">
        <v>189</v>
      </c>
      <c r="M11" s="7" t="s">
        <v>190</v>
      </c>
      <c r="N11" s="7" t="s">
        <v>67</v>
      </c>
      <c r="O11" s="7">
        <v>3.9258999999999999</v>
      </c>
      <c r="P11" s="4">
        <v>48</v>
      </c>
      <c r="Q11" s="4"/>
      <c r="R11" s="4">
        <v>26411</v>
      </c>
      <c r="S11" s="4" t="s">
        <v>191</v>
      </c>
      <c r="T11" s="25" t="s">
        <v>192</v>
      </c>
    </row>
    <row r="12" spans="1:20" ht="69" customHeight="1" x14ac:dyDescent="0.3">
      <c r="A12" s="7" t="s">
        <v>193</v>
      </c>
      <c r="B12" s="4" t="s">
        <v>194</v>
      </c>
      <c r="C12" s="4" t="s">
        <v>32</v>
      </c>
      <c r="D12" s="4" t="s">
        <v>33</v>
      </c>
      <c r="E12" s="4" t="s">
        <v>34</v>
      </c>
      <c r="F12" s="4">
        <v>1</v>
      </c>
      <c r="G12" s="4" t="s">
        <v>108</v>
      </c>
      <c r="H12" s="16" t="s">
        <v>195</v>
      </c>
      <c r="I12" s="9" t="s">
        <v>196</v>
      </c>
      <c r="J12" s="13" t="s">
        <v>197</v>
      </c>
      <c r="K12" s="10" t="s">
        <v>198</v>
      </c>
      <c r="L12" s="26" t="s">
        <v>199</v>
      </c>
      <c r="M12" s="7" t="s">
        <v>200</v>
      </c>
      <c r="N12" s="7" t="s">
        <v>201</v>
      </c>
      <c r="O12" s="7">
        <v>10.278499999999999</v>
      </c>
      <c r="P12" s="4">
        <v>1</v>
      </c>
      <c r="Q12" s="4">
        <v>218</v>
      </c>
      <c r="R12" s="4">
        <v>220</v>
      </c>
      <c r="S12" s="4" t="s">
        <v>202</v>
      </c>
      <c r="T12" s="22" t="s">
        <v>203</v>
      </c>
    </row>
    <row r="13" spans="1:20" ht="69" customHeight="1" x14ac:dyDescent="0.3">
      <c r="A13" s="7" t="s">
        <v>204</v>
      </c>
      <c r="B13" s="4" t="s">
        <v>205</v>
      </c>
      <c r="C13" s="4" t="s">
        <v>32</v>
      </c>
      <c r="D13" s="4" t="s">
        <v>33</v>
      </c>
      <c r="E13" s="4" t="s">
        <v>34</v>
      </c>
      <c r="F13" s="4">
        <v>1</v>
      </c>
      <c r="G13" s="4" t="s">
        <v>36</v>
      </c>
      <c r="H13" s="16" t="s">
        <v>206</v>
      </c>
      <c r="I13" s="9" t="s">
        <v>207</v>
      </c>
      <c r="J13" s="13" t="s">
        <v>208</v>
      </c>
      <c r="K13" s="10" t="s">
        <v>209</v>
      </c>
      <c r="L13" s="26" t="s">
        <v>210</v>
      </c>
      <c r="M13" s="7" t="s">
        <v>211</v>
      </c>
      <c r="N13" s="7" t="s">
        <v>67</v>
      </c>
      <c r="O13" s="7">
        <v>5.4286000000000003</v>
      </c>
      <c r="P13" s="4">
        <v>86</v>
      </c>
      <c r="Q13" s="4"/>
      <c r="R13" s="4">
        <v>11314</v>
      </c>
      <c r="S13" s="4" t="s">
        <v>212</v>
      </c>
      <c r="T13" s="14" t="s">
        <v>213</v>
      </c>
    </row>
    <row r="14" spans="1:20" ht="69" customHeight="1" x14ac:dyDescent="0.3">
      <c r="A14" s="7" t="s">
        <v>214</v>
      </c>
      <c r="B14" s="4" t="s">
        <v>215</v>
      </c>
      <c r="C14" s="4" t="s">
        <v>32</v>
      </c>
      <c r="D14" s="4" t="s">
        <v>33</v>
      </c>
      <c r="E14" s="4" t="s">
        <v>34</v>
      </c>
      <c r="F14" s="4">
        <v>1</v>
      </c>
      <c r="G14" s="4" t="s">
        <v>108</v>
      </c>
      <c r="H14" s="16" t="s">
        <v>216</v>
      </c>
      <c r="I14" s="9" t="s">
        <v>217</v>
      </c>
      <c r="J14" s="13" t="s">
        <v>218</v>
      </c>
      <c r="K14" s="10" t="s">
        <v>219</v>
      </c>
      <c r="L14" s="26" t="s">
        <v>220</v>
      </c>
      <c r="M14" s="7" t="s">
        <v>221</v>
      </c>
      <c r="N14" s="7" t="s">
        <v>67</v>
      </c>
      <c r="O14" s="7">
        <v>4.5772000000000004</v>
      </c>
      <c r="P14" s="4">
        <v>77</v>
      </c>
      <c r="Q14" s="4"/>
      <c r="R14" s="4">
        <v>79</v>
      </c>
      <c r="S14" s="4" t="s">
        <v>222</v>
      </c>
      <c r="T14" s="12" t="s">
        <v>223</v>
      </c>
    </row>
    <row r="15" spans="1:20" ht="69" customHeight="1" x14ac:dyDescent="0.3">
      <c r="A15" s="7" t="s">
        <v>224</v>
      </c>
      <c r="B15" s="4" t="s">
        <v>225</v>
      </c>
      <c r="C15" s="4" t="s">
        <v>32</v>
      </c>
      <c r="D15" s="4" t="s">
        <v>33</v>
      </c>
      <c r="E15" s="4" t="s">
        <v>34</v>
      </c>
      <c r="F15" s="4">
        <v>1</v>
      </c>
      <c r="G15" s="4" t="s">
        <v>108</v>
      </c>
      <c r="H15" s="16" t="s">
        <v>226</v>
      </c>
      <c r="I15" s="9" t="s">
        <v>227</v>
      </c>
      <c r="J15" s="13" t="s">
        <v>228</v>
      </c>
      <c r="K15" s="10" t="s">
        <v>229</v>
      </c>
      <c r="L15" s="23" t="s">
        <v>230</v>
      </c>
      <c r="M15" s="7" t="s">
        <v>231</v>
      </c>
      <c r="N15" s="7" t="s">
        <v>67</v>
      </c>
      <c r="O15" s="7">
        <v>6.3676000000000004</v>
      </c>
      <c r="P15" s="4">
        <v>10</v>
      </c>
      <c r="Q15" s="4"/>
      <c r="R15" s="4">
        <v>156</v>
      </c>
      <c r="S15" s="4" t="s">
        <v>232</v>
      </c>
      <c r="T15" s="22" t="s">
        <v>233</v>
      </c>
    </row>
    <row r="16" spans="1:20" ht="69" customHeight="1" x14ac:dyDescent="0.3">
      <c r="A16" s="7" t="s">
        <v>234</v>
      </c>
      <c r="B16" s="4" t="s">
        <v>235</v>
      </c>
      <c r="C16" s="4" t="s">
        <v>32</v>
      </c>
      <c r="D16" s="4" t="s">
        <v>33</v>
      </c>
      <c r="E16" s="4" t="s">
        <v>34</v>
      </c>
      <c r="F16" s="4">
        <v>1</v>
      </c>
      <c r="G16" s="4" t="s">
        <v>108</v>
      </c>
      <c r="H16" s="16" t="s">
        <v>236</v>
      </c>
      <c r="I16" s="9" t="s">
        <v>237</v>
      </c>
      <c r="J16" s="13" t="s">
        <v>238</v>
      </c>
      <c r="K16" s="10" t="s">
        <v>239</v>
      </c>
      <c r="L16" s="26" t="s">
        <v>240</v>
      </c>
      <c r="M16" s="7" t="s">
        <v>241</v>
      </c>
      <c r="N16" s="7" t="s">
        <v>67</v>
      </c>
      <c r="O16" s="7">
        <v>3.1232000000000002</v>
      </c>
      <c r="P16" s="4">
        <v>700</v>
      </c>
      <c r="Q16" s="4"/>
      <c r="R16" s="4">
        <v>726</v>
      </c>
      <c r="S16" s="4" t="s">
        <v>242</v>
      </c>
      <c r="T16" s="25" t="s">
        <v>243</v>
      </c>
    </row>
    <row r="17" spans="1:20" ht="69" customHeight="1" x14ac:dyDescent="0.3">
      <c r="A17" s="7" t="s">
        <v>244</v>
      </c>
      <c r="B17" s="4" t="s">
        <v>245</v>
      </c>
      <c r="C17" s="4" t="s">
        <v>32</v>
      </c>
      <c r="D17" s="4" t="s">
        <v>33</v>
      </c>
      <c r="E17" s="4" t="s">
        <v>34</v>
      </c>
      <c r="F17" s="4">
        <v>1</v>
      </c>
      <c r="G17" s="4" t="s">
        <v>108</v>
      </c>
      <c r="H17" s="16" t="s">
        <v>246</v>
      </c>
      <c r="I17" s="9" t="s">
        <v>247</v>
      </c>
      <c r="J17" s="13" t="s">
        <v>248</v>
      </c>
      <c r="K17" s="10" t="s">
        <v>249</v>
      </c>
      <c r="L17" s="26" t="s">
        <v>250</v>
      </c>
      <c r="M17" s="7" t="s">
        <v>251</v>
      </c>
      <c r="N17" s="7" t="s">
        <v>67</v>
      </c>
      <c r="O17" s="7">
        <v>-5.71224767</v>
      </c>
      <c r="P17" s="4">
        <v>81</v>
      </c>
      <c r="Q17" s="4"/>
      <c r="R17" s="4">
        <v>393</v>
      </c>
      <c r="S17" s="4" t="s">
        <v>252</v>
      </c>
      <c r="T17" s="22" t="s">
        <v>253</v>
      </c>
    </row>
    <row r="18" spans="1:20" ht="69" customHeight="1" x14ac:dyDescent="0.3">
      <c r="A18" s="7" t="s">
        <v>254</v>
      </c>
      <c r="B18" s="4" t="s">
        <v>255</v>
      </c>
      <c r="C18" s="4" t="s">
        <v>32</v>
      </c>
      <c r="D18" s="4" t="s">
        <v>33</v>
      </c>
      <c r="E18" s="4" t="s">
        <v>256</v>
      </c>
      <c r="F18" s="4">
        <v>3</v>
      </c>
      <c r="G18" s="4" t="s">
        <v>142</v>
      </c>
      <c r="H18" s="16" t="s">
        <v>257</v>
      </c>
      <c r="I18" s="9" t="s">
        <v>258</v>
      </c>
      <c r="J18" s="13" t="s">
        <v>259</v>
      </c>
      <c r="K18" s="10" t="s">
        <v>260</v>
      </c>
      <c r="L18" s="23" t="s">
        <v>261</v>
      </c>
      <c r="M18" s="7" t="s">
        <v>262</v>
      </c>
      <c r="N18" s="7" t="s">
        <v>263</v>
      </c>
      <c r="O18" s="7">
        <v>2.7692641</v>
      </c>
      <c r="P18" s="4">
        <v>11</v>
      </c>
      <c r="Q18" s="4"/>
      <c r="R18" s="4">
        <v>245</v>
      </c>
      <c r="S18" s="4" t="s">
        <v>264</v>
      </c>
      <c r="T18" s="25" t="s">
        <v>265</v>
      </c>
    </row>
    <row r="19" spans="1:20" ht="69" customHeight="1" x14ac:dyDescent="0.3">
      <c r="A19" s="7" t="s">
        <v>266</v>
      </c>
      <c r="B19" s="4" t="s">
        <v>267</v>
      </c>
      <c r="C19" s="4" t="s">
        <v>32</v>
      </c>
      <c r="D19" s="4" t="s">
        <v>33</v>
      </c>
      <c r="E19" s="4" t="s">
        <v>34</v>
      </c>
      <c r="F19" s="4">
        <v>1</v>
      </c>
      <c r="G19" s="4" t="s">
        <v>142</v>
      </c>
      <c r="H19" s="9" t="s">
        <v>268</v>
      </c>
      <c r="I19" s="9" t="s">
        <v>269</v>
      </c>
      <c r="J19" s="13" t="s">
        <v>270</v>
      </c>
      <c r="K19" s="10" t="s">
        <v>271</v>
      </c>
      <c r="L19" s="26" t="s">
        <v>272</v>
      </c>
      <c r="M19" s="7" t="s">
        <v>273</v>
      </c>
      <c r="N19" s="7" t="s">
        <v>263</v>
      </c>
      <c r="O19" s="7">
        <v>-6.7880599999999998</v>
      </c>
      <c r="P19" s="4">
        <v>2291</v>
      </c>
      <c r="Q19" s="4"/>
      <c r="R19" s="4">
        <v>2293</v>
      </c>
      <c r="S19" s="4" t="s">
        <v>274</v>
      </c>
      <c r="T19" s="22" t="s">
        <v>275</v>
      </c>
    </row>
    <row r="20" spans="1:20" ht="69" customHeight="1" x14ac:dyDescent="0.3">
      <c r="A20" s="7" t="s">
        <v>276</v>
      </c>
      <c r="B20" s="4" t="s">
        <v>277</v>
      </c>
      <c r="C20" s="4" t="s">
        <v>32</v>
      </c>
      <c r="D20" s="4" t="s">
        <v>33</v>
      </c>
      <c r="E20" s="4" t="s">
        <v>34</v>
      </c>
      <c r="F20" s="4">
        <v>1</v>
      </c>
      <c r="G20" s="4" t="s">
        <v>142</v>
      </c>
      <c r="H20" s="16" t="s">
        <v>278</v>
      </c>
      <c r="I20" s="9" t="s">
        <v>279</v>
      </c>
      <c r="J20" s="13" t="s">
        <v>280</v>
      </c>
      <c r="K20" s="10" t="s">
        <v>281</v>
      </c>
      <c r="L20" s="23" t="s">
        <v>282</v>
      </c>
      <c r="M20" s="7" t="s">
        <v>283</v>
      </c>
      <c r="N20" s="7" t="s">
        <v>67</v>
      </c>
      <c r="O20" s="27" t="s">
        <v>284</v>
      </c>
      <c r="P20" s="28">
        <v>206</v>
      </c>
      <c r="Q20" s="4"/>
      <c r="R20" s="4">
        <v>211</v>
      </c>
      <c r="S20" s="4" t="s">
        <v>285</v>
      </c>
      <c r="T20" s="22" t="s">
        <v>286</v>
      </c>
    </row>
    <row r="21" spans="1:20" ht="69" customHeight="1" x14ac:dyDescent="0.3">
      <c r="A21" s="7" t="s">
        <v>287</v>
      </c>
      <c r="B21" s="4" t="s">
        <v>288</v>
      </c>
      <c r="C21" s="4" t="s">
        <v>32</v>
      </c>
      <c r="D21" s="4" t="s">
        <v>33</v>
      </c>
      <c r="E21" s="4" t="s">
        <v>34</v>
      </c>
      <c r="F21" s="4">
        <v>1</v>
      </c>
      <c r="G21" s="4" t="s">
        <v>142</v>
      </c>
      <c r="H21" s="16" t="s">
        <v>289</v>
      </c>
      <c r="I21" s="9" t="s">
        <v>290</v>
      </c>
      <c r="J21" s="13" t="s">
        <v>291</v>
      </c>
      <c r="K21" s="10" t="s">
        <v>292</v>
      </c>
      <c r="L21" s="26" t="s">
        <v>293</v>
      </c>
      <c r="M21" s="7" t="s">
        <v>294</v>
      </c>
      <c r="N21" s="7" t="s">
        <v>263</v>
      </c>
      <c r="O21" s="7">
        <v>-1.9899682999999999</v>
      </c>
      <c r="P21" s="4">
        <v>10173</v>
      </c>
      <c r="Q21" s="4"/>
      <c r="R21" s="4">
        <v>13292</v>
      </c>
      <c r="S21" s="4" t="s">
        <v>295</v>
      </c>
      <c r="T21" s="22" t="s">
        <v>296</v>
      </c>
    </row>
    <row r="22" spans="1:20" ht="69" customHeight="1" x14ac:dyDescent="0.3">
      <c r="A22" s="7" t="s">
        <v>297</v>
      </c>
      <c r="B22" s="4" t="s">
        <v>298</v>
      </c>
      <c r="C22" s="4" t="s">
        <v>299</v>
      </c>
      <c r="D22" s="4" t="s">
        <v>33</v>
      </c>
      <c r="E22" s="4" t="s">
        <v>34</v>
      </c>
      <c r="F22" s="4">
        <v>1</v>
      </c>
      <c r="G22" s="4" t="s">
        <v>142</v>
      </c>
      <c r="H22" s="16" t="s">
        <v>300</v>
      </c>
      <c r="I22" s="9" t="s">
        <v>301</v>
      </c>
      <c r="J22" s="10" t="s">
        <v>302</v>
      </c>
      <c r="K22" s="10" t="s">
        <v>303</v>
      </c>
      <c r="L22" s="26" t="s">
        <v>304</v>
      </c>
      <c r="M22" s="7" t="s">
        <v>305</v>
      </c>
      <c r="N22" s="7" t="s">
        <v>67</v>
      </c>
      <c r="O22" s="7">
        <v>-2.3610000000000002</v>
      </c>
      <c r="P22" s="4">
        <v>348</v>
      </c>
      <c r="Q22" s="4"/>
      <c r="R22" s="4">
        <v>353</v>
      </c>
      <c r="S22" s="4" t="s">
        <v>306</v>
      </c>
      <c r="T22" s="29" t="s">
        <v>307</v>
      </c>
    </row>
    <row r="23" spans="1:20" ht="69" customHeight="1" x14ac:dyDescent="0.3">
      <c r="A23" s="7" t="s">
        <v>308</v>
      </c>
      <c r="B23" s="4" t="s">
        <v>309</v>
      </c>
      <c r="C23" s="4" t="s">
        <v>310</v>
      </c>
      <c r="D23" s="4" t="s">
        <v>33</v>
      </c>
      <c r="E23" s="4" t="s">
        <v>34</v>
      </c>
      <c r="F23" s="4">
        <v>1</v>
      </c>
      <c r="G23" s="4" t="s">
        <v>142</v>
      </c>
      <c r="H23" s="16" t="s">
        <v>311</v>
      </c>
      <c r="I23" s="9" t="s">
        <v>312</v>
      </c>
      <c r="J23" s="10" t="s">
        <v>313</v>
      </c>
      <c r="K23" s="10" t="s">
        <v>314</v>
      </c>
      <c r="L23" s="26" t="s">
        <v>315</v>
      </c>
      <c r="M23" s="7" t="s">
        <v>316</v>
      </c>
      <c r="N23" s="7" t="s">
        <v>126</v>
      </c>
      <c r="O23" s="7">
        <v>2.14</v>
      </c>
      <c r="P23" s="4" t="s">
        <v>317</v>
      </c>
      <c r="Q23" s="4" t="s">
        <v>317</v>
      </c>
      <c r="R23" s="4">
        <v>92</v>
      </c>
      <c r="S23" s="4" t="s">
        <v>318</v>
      </c>
      <c r="T23" s="29" t="s">
        <v>319</v>
      </c>
    </row>
    <row r="24" spans="1:20" ht="69" customHeight="1" x14ac:dyDescent="0.3">
      <c r="A24" s="7" t="s">
        <v>320</v>
      </c>
      <c r="B24" s="4" t="s">
        <v>321</v>
      </c>
      <c r="C24" s="4" t="s">
        <v>310</v>
      </c>
      <c r="D24" s="4" t="s">
        <v>33</v>
      </c>
      <c r="E24" s="4" t="s">
        <v>34</v>
      </c>
      <c r="F24" s="4">
        <v>1</v>
      </c>
      <c r="G24" s="4" t="s">
        <v>142</v>
      </c>
      <c r="H24" s="16" t="s">
        <v>322</v>
      </c>
      <c r="I24" s="9" t="s">
        <v>323</v>
      </c>
      <c r="J24" s="30" t="s">
        <v>324</v>
      </c>
      <c r="K24" s="10" t="s">
        <v>325</v>
      </c>
      <c r="L24" s="23" t="s">
        <v>326</v>
      </c>
      <c r="M24" s="7" t="s">
        <v>327</v>
      </c>
      <c r="N24" s="7" t="s">
        <v>201</v>
      </c>
      <c r="O24" s="7">
        <v>8.4990000000000006</v>
      </c>
      <c r="P24" s="4">
        <v>1</v>
      </c>
      <c r="Q24" s="4">
        <v>47</v>
      </c>
      <c r="R24" s="4">
        <v>49</v>
      </c>
      <c r="S24" s="4" t="s">
        <v>328</v>
      </c>
      <c r="T24" s="29" t="s">
        <v>329</v>
      </c>
    </row>
    <row r="25" spans="1:20" ht="69" customHeight="1" x14ac:dyDescent="0.3">
      <c r="A25" s="7" t="s">
        <v>330</v>
      </c>
      <c r="B25" s="10" t="s">
        <v>331</v>
      </c>
      <c r="C25" s="4" t="s">
        <v>310</v>
      </c>
      <c r="D25" s="4" t="s">
        <v>154</v>
      </c>
      <c r="E25" s="4" t="s">
        <v>34</v>
      </c>
      <c r="F25" s="4">
        <v>1</v>
      </c>
      <c r="G25" s="4" t="s">
        <v>108</v>
      </c>
      <c r="H25" s="9" t="s">
        <v>332</v>
      </c>
      <c r="I25" s="9" t="s">
        <v>333</v>
      </c>
      <c r="J25" s="10" t="s">
        <v>334</v>
      </c>
      <c r="K25" s="10" t="s">
        <v>335</v>
      </c>
      <c r="L25" s="23" t="s">
        <v>336</v>
      </c>
      <c r="M25" s="7" t="s">
        <v>337</v>
      </c>
      <c r="N25" s="7" t="s">
        <v>67</v>
      </c>
      <c r="O25" s="7">
        <v>3.43</v>
      </c>
      <c r="P25" s="4">
        <v>99</v>
      </c>
      <c r="Q25" s="4"/>
      <c r="R25" s="4">
        <v>101</v>
      </c>
      <c r="S25" s="4" t="s">
        <v>338</v>
      </c>
      <c r="T25" s="11" t="s">
        <v>339</v>
      </c>
    </row>
    <row r="26" spans="1:20" ht="69" customHeight="1" x14ac:dyDescent="0.3">
      <c r="A26" s="7" t="s">
        <v>340</v>
      </c>
      <c r="B26" s="10" t="s">
        <v>341</v>
      </c>
      <c r="C26" s="4" t="s">
        <v>107</v>
      </c>
      <c r="D26" s="4" t="s">
        <v>33</v>
      </c>
      <c r="E26" s="4" t="s">
        <v>34</v>
      </c>
      <c r="F26" s="4">
        <v>1</v>
      </c>
      <c r="G26" s="4" t="s">
        <v>108</v>
      </c>
      <c r="H26" s="9" t="s">
        <v>342</v>
      </c>
      <c r="I26" s="9" t="s">
        <v>343</v>
      </c>
      <c r="J26" s="10" t="s">
        <v>344</v>
      </c>
      <c r="K26" s="10" t="s">
        <v>345</v>
      </c>
      <c r="L26" s="23" t="s">
        <v>346</v>
      </c>
      <c r="M26" s="7" t="s">
        <v>347</v>
      </c>
      <c r="N26" s="7" t="s">
        <v>67</v>
      </c>
      <c r="O26" s="24">
        <v>-3.5132672999999999</v>
      </c>
      <c r="P26" s="4">
        <v>30</v>
      </c>
      <c r="Q26" s="4"/>
      <c r="R26" s="4">
        <v>33</v>
      </c>
      <c r="S26" s="4" t="s">
        <v>348</v>
      </c>
      <c r="T26" s="29" t="s">
        <v>349</v>
      </c>
    </row>
    <row r="27" spans="1:20" ht="69" customHeight="1" x14ac:dyDescent="0.3">
      <c r="A27" s="7" t="s">
        <v>350</v>
      </c>
      <c r="B27" s="4" t="s">
        <v>351</v>
      </c>
      <c r="C27" s="4" t="s">
        <v>107</v>
      </c>
      <c r="D27" s="4" t="s">
        <v>33</v>
      </c>
      <c r="E27" s="4" t="s">
        <v>34</v>
      </c>
      <c r="F27" s="4">
        <v>1</v>
      </c>
      <c r="G27" s="4" t="s">
        <v>36</v>
      </c>
      <c r="H27" s="9" t="s">
        <v>352</v>
      </c>
      <c r="I27" s="9" t="s">
        <v>353</v>
      </c>
      <c r="J27" s="10" t="s">
        <v>354</v>
      </c>
      <c r="K27" s="10" t="s">
        <v>355</v>
      </c>
      <c r="L27" s="23" t="s">
        <v>356</v>
      </c>
      <c r="M27" s="7" t="s">
        <v>357</v>
      </c>
      <c r="N27" s="7" t="s">
        <v>126</v>
      </c>
      <c r="O27" s="31">
        <v>-1.8342099999999999</v>
      </c>
      <c r="P27" s="4"/>
      <c r="Q27" s="4"/>
      <c r="R27" s="4">
        <v>94</v>
      </c>
      <c r="S27" s="4" t="s">
        <v>358</v>
      </c>
      <c r="T27" s="23" t="s">
        <v>359</v>
      </c>
    </row>
    <row r="28" spans="1:20" ht="69" customHeight="1" x14ac:dyDescent="0.3">
      <c r="A28" s="7" t="s">
        <v>360</v>
      </c>
      <c r="B28" s="4" t="s">
        <v>361</v>
      </c>
      <c r="C28" s="4" t="s">
        <v>107</v>
      </c>
      <c r="D28" s="4" t="s">
        <v>33</v>
      </c>
      <c r="E28" s="4" t="s">
        <v>34</v>
      </c>
      <c r="F28" s="4">
        <v>1</v>
      </c>
      <c r="G28" s="4" t="s">
        <v>36</v>
      </c>
      <c r="H28" s="8" t="s">
        <v>362</v>
      </c>
      <c r="I28" s="9" t="s">
        <v>363</v>
      </c>
      <c r="J28" s="4" t="s">
        <v>364</v>
      </c>
      <c r="K28" s="10" t="s">
        <v>365</v>
      </c>
      <c r="L28" s="26" t="s">
        <v>366</v>
      </c>
      <c r="M28" s="7" t="s">
        <v>367</v>
      </c>
      <c r="N28" s="7" t="s">
        <v>126</v>
      </c>
      <c r="O28" s="32">
        <v>2.8286500000000001</v>
      </c>
      <c r="P28" s="4"/>
      <c r="Q28" s="4"/>
      <c r="R28" s="4">
        <v>5360</v>
      </c>
      <c r="S28" s="4" t="s">
        <v>368</v>
      </c>
      <c r="T28" s="26" t="s">
        <v>369</v>
      </c>
    </row>
    <row r="29" spans="1:20" ht="69" customHeight="1" x14ac:dyDescent="0.3">
      <c r="A29" s="7" t="s">
        <v>370</v>
      </c>
      <c r="B29" s="4" t="s">
        <v>371</v>
      </c>
      <c r="C29" s="4" t="s">
        <v>107</v>
      </c>
      <c r="D29" s="4" t="s">
        <v>33</v>
      </c>
      <c r="E29" s="4" t="s">
        <v>34</v>
      </c>
      <c r="F29" s="4">
        <v>1</v>
      </c>
      <c r="G29" s="4" t="s">
        <v>36</v>
      </c>
      <c r="H29" s="8" t="s">
        <v>372</v>
      </c>
      <c r="I29" s="9" t="s">
        <v>373</v>
      </c>
      <c r="J29" s="4" t="s">
        <v>374</v>
      </c>
      <c r="K29" s="10" t="s">
        <v>375</v>
      </c>
      <c r="L29" s="23" t="s">
        <v>376</v>
      </c>
      <c r="M29" s="7" t="s">
        <v>377</v>
      </c>
      <c r="N29" s="7" t="s">
        <v>126</v>
      </c>
      <c r="O29" s="27" t="s">
        <v>378</v>
      </c>
      <c r="P29" s="4"/>
      <c r="Q29" s="4"/>
      <c r="R29" s="4">
        <v>213454</v>
      </c>
      <c r="S29" s="4" t="s">
        <v>379</v>
      </c>
      <c r="T29" s="12" t="s">
        <v>380</v>
      </c>
    </row>
    <row r="30" spans="1:20" ht="69" customHeight="1" x14ac:dyDescent="0.3">
      <c r="A30" s="7" t="s">
        <v>381</v>
      </c>
      <c r="B30" s="4" t="s">
        <v>382</v>
      </c>
      <c r="C30" s="4" t="s">
        <v>107</v>
      </c>
      <c r="D30" s="4" t="s">
        <v>33</v>
      </c>
      <c r="E30" s="4" t="s">
        <v>34</v>
      </c>
      <c r="F30" s="4">
        <v>4</v>
      </c>
      <c r="G30" s="4" t="s">
        <v>142</v>
      </c>
      <c r="H30" s="8" t="s">
        <v>383</v>
      </c>
      <c r="I30" s="9" t="s">
        <v>384</v>
      </c>
      <c r="J30" s="4" t="s">
        <v>385</v>
      </c>
      <c r="K30" s="10" t="s">
        <v>386</v>
      </c>
      <c r="L30" s="26" t="s">
        <v>387</v>
      </c>
      <c r="M30" s="7" t="s">
        <v>388</v>
      </c>
      <c r="N30" s="7" t="s">
        <v>389</v>
      </c>
      <c r="O30" s="27" t="s">
        <v>390</v>
      </c>
      <c r="P30" s="4">
        <v>1</v>
      </c>
      <c r="Q30" s="4"/>
      <c r="R30" s="4">
        <v>56</v>
      </c>
      <c r="S30" s="4" t="s">
        <v>391</v>
      </c>
      <c r="T30" s="12" t="s">
        <v>392</v>
      </c>
    </row>
    <row r="31" spans="1:20" ht="69" customHeight="1" x14ac:dyDescent="0.3">
      <c r="A31" s="7" t="s">
        <v>393</v>
      </c>
      <c r="B31" s="4" t="s">
        <v>394</v>
      </c>
      <c r="C31" s="4" t="s">
        <v>107</v>
      </c>
      <c r="D31" s="4" t="s">
        <v>33</v>
      </c>
      <c r="E31" s="4" t="s">
        <v>34</v>
      </c>
      <c r="F31" s="4">
        <v>2</v>
      </c>
      <c r="G31" s="4" t="s">
        <v>108</v>
      </c>
      <c r="H31" s="9" t="s">
        <v>395</v>
      </c>
      <c r="I31" s="9" t="s">
        <v>396</v>
      </c>
      <c r="J31" s="10" t="s">
        <v>397</v>
      </c>
      <c r="K31" s="10" t="s">
        <v>398</v>
      </c>
      <c r="L31" s="23" t="s">
        <v>399</v>
      </c>
      <c r="M31" s="7" t="s">
        <v>400</v>
      </c>
      <c r="N31" s="7" t="s">
        <v>67</v>
      </c>
      <c r="O31" s="7">
        <v>2.46</v>
      </c>
      <c r="P31" s="4">
        <v>141</v>
      </c>
      <c r="Q31" s="4"/>
      <c r="R31" s="4" t="s">
        <v>401</v>
      </c>
      <c r="S31" s="4" t="s">
        <v>402</v>
      </c>
      <c r="T31" s="29" t="s">
        <v>403</v>
      </c>
    </row>
    <row r="32" spans="1:20" ht="69" customHeight="1" x14ac:dyDescent="0.3">
      <c r="A32" s="7" t="s">
        <v>404</v>
      </c>
      <c r="B32" s="4" t="s">
        <v>405</v>
      </c>
      <c r="C32" s="4" t="s">
        <v>107</v>
      </c>
      <c r="D32" s="4" t="s">
        <v>33</v>
      </c>
      <c r="E32" s="4" t="s">
        <v>34</v>
      </c>
      <c r="F32" s="4">
        <v>1</v>
      </c>
      <c r="G32" s="4" t="s">
        <v>142</v>
      </c>
      <c r="H32" s="9" t="s">
        <v>406</v>
      </c>
      <c r="I32" s="9" t="s">
        <v>407</v>
      </c>
      <c r="J32" s="10" t="s">
        <v>408</v>
      </c>
      <c r="K32" s="10" t="s">
        <v>409</v>
      </c>
      <c r="L32" s="26" t="s">
        <v>410</v>
      </c>
      <c r="M32" s="7" t="s">
        <v>411</v>
      </c>
      <c r="N32" s="7" t="s">
        <v>67</v>
      </c>
      <c r="O32" s="32">
        <v>3.0290900000000001</v>
      </c>
      <c r="P32" s="4">
        <v>325</v>
      </c>
      <c r="Q32" s="4"/>
      <c r="R32" s="4">
        <v>3693</v>
      </c>
      <c r="S32" s="4" t="s">
        <v>412</v>
      </c>
      <c r="T32" s="29" t="s">
        <v>413</v>
      </c>
    </row>
    <row r="33" spans="1:20" ht="69" customHeight="1" x14ac:dyDescent="0.3">
      <c r="A33" s="7" t="s">
        <v>414</v>
      </c>
      <c r="B33" s="10" t="s">
        <v>415</v>
      </c>
      <c r="C33" s="4" t="s">
        <v>107</v>
      </c>
      <c r="D33" s="4" t="s">
        <v>33</v>
      </c>
      <c r="E33" s="4" t="s">
        <v>34</v>
      </c>
      <c r="F33" s="4">
        <v>1</v>
      </c>
      <c r="G33" s="4" t="s">
        <v>142</v>
      </c>
      <c r="H33" s="9" t="s">
        <v>416</v>
      </c>
      <c r="I33" s="9" t="s">
        <v>417</v>
      </c>
      <c r="J33" s="10" t="s">
        <v>418</v>
      </c>
      <c r="K33" s="10" t="s">
        <v>419</v>
      </c>
      <c r="L33" s="23" t="s">
        <v>420</v>
      </c>
      <c r="M33" s="7" t="s">
        <v>421</v>
      </c>
      <c r="N33" s="7" t="s">
        <v>67</v>
      </c>
      <c r="O33" s="27" t="s">
        <v>422</v>
      </c>
      <c r="P33" s="4">
        <v>44</v>
      </c>
      <c r="Q33" s="4"/>
      <c r="R33" s="4">
        <v>6027</v>
      </c>
      <c r="S33" s="4" t="s">
        <v>423</v>
      </c>
      <c r="T33" s="29" t="s">
        <v>424</v>
      </c>
    </row>
    <row r="34" spans="1:20" ht="69" customHeight="1" x14ac:dyDescent="0.3">
      <c r="A34" s="7" t="s">
        <v>425</v>
      </c>
      <c r="B34" s="4" t="s">
        <v>426</v>
      </c>
      <c r="C34" s="4" t="s">
        <v>107</v>
      </c>
      <c r="D34" s="4" t="s">
        <v>33</v>
      </c>
      <c r="E34" s="4" t="s">
        <v>34</v>
      </c>
      <c r="F34" s="4">
        <v>1</v>
      </c>
      <c r="G34" s="4" t="s">
        <v>36</v>
      </c>
      <c r="H34" s="16" t="s">
        <v>427</v>
      </c>
      <c r="I34" s="9" t="s">
        <v>428</v>
      </c>
      <c r="J34" s="13" t="s">
        <v>429</v>
      </c>
      <c r="K34" s="10" t="s">
        <v>430</v>
      </c>
      <c r="L34" s="23" t="s">
        <v>431</v>
      </c>
      <c r="M34" s="7" t="s">
        <v>432</v>
      </c>
      <c r="N34" s="7" t="s">
        <v>126</v>
      </c>
      <c r="O34" s="27" t="s">
        <v>433</v>
      </c>
      <c r="P34" s="4"/>
      <c r="Q34" s="4"/>
      <c r="R34" s="4">
        <v>202</v>
      </c>
      <c r="S34" s="4" t="s">
        <v>434</v>
      </c>
      <c r="T34" s="14" t="s">
        <v>435</v>
      </c>
    </row>
    <row r="35" spans="1:20" ht="69" customHeight="1" x14ac:dyDescent="0.3">
      <c r="A35" s="7" t="s">
        <v>436</v>
      </c>
      <c r="B35" s="4" t="s">
        <v>437</v>
      </c>
      <c r="C35" s="4" t="s">
        <v>107</v>
      </c>
      <c r="D35" s="4" t="s">
        <v>33</v>
      </c>
      <c r="E35" s="4" t="s">
        <v>34</v>
      </c>
      <c r="F35" s="4">
        <v>1</v>
      </c>
      <c r="G35" s="4" t="s">
        <v>438</v>
      </c>
      <c r="H35" s="16" t="s">
        <v>439</v>
      </c>
      <c r="I35" s="9" t="s">
        <v>440</v>
      </c>
      <c r="J35" s="13" t="s">
        <v>441</v>
      </c>
      <c r="K35" s="10" t="s">
        <v>442</v>
      </c>
      <c r="L35" s="26" t="s">
        <v>443</v>
      </c>
      <c r="M35" s="7" t="s">
        <v>444</v>
      </c>
      <c r="N35" s="7" t="s">
        <v>126</v>
      </c>
      <c r="O35" s="27" t="s">
        <v>445</v>
      </c>
      <c r="P35" s="4"/>
      <c r="Q35" s="4"/>
      <c r="R35" s="4">
        <v>588</v>
      </c>
      <c r="S35" s="4" t="s">
        <v>446</v>
      </c>
      <c r="T35" s="12" t="s">
        <v>447</v>
      </c>
    </row>
    <row r="36" spans="1:20" ht="69" customHeight="1" x14ac:dyDescent="0.3">
      <c r="A36" s="7" t="s">
        <v>448</v>
      </c>
      <c r="B36" s="4" t="s">
        <v>449</v>
      </c>
      <c r="C36" s="4" t="s">
        <v>107</v>
      </c>
      <c r="D36" s="4" t="s">
        <v>33</v>
      </c>
      <c r="E36" s="4" t="s">
        <v>34</v>
      </c>
      <c r="F36" s="4">
        <v>1</v>
      </c>
      <c r="G36" s="4" t="s">
        <v>108</v>
      </c>
      <c r="H36" s="8" t="s">
        <v>450</v>
      </c>
      <c r="I36" s="9" t="s">
        <v>451</v>
      </c>
      <c r="J36" s="4" t="s">
        <v>452</v>
      </c>
      <c r="K36" s="10" t="s">
        <v>453</v>
      </c>
      <c r="L36" s="26" t="s">
        <v>454</v>
      </c>
      <c r="M36" s="7" t="s">
        <v>455</v>
      </c>
      <c r="N36" s="7" t="s">
        <v>126</v>
      </c>
      <c r="O36" s="27" t="s">
        <v>456</v>
      </c>
      <c r="P36" s="4"/>
      <c r="Q36" s="4"/>
      <c r="R36" s="4">
        <v>798</v>
      </c>
      <c r="S36" s="4" t="s">
        <v>457</v>
      </c>
      <c r="T36" s="12" t="s">
        <v>458</v>
      </c>
    </row>
    <row r="37" spans="1:20" ht="69" customHeight="1" x14ac:dyDescent="0.3">
      <c r="A37" s="7" t="s">
        <v>459</v>
      </c>
      <c r="B37" s="4" t="s">
        <v>460</v>
      </c>
      <c r="C37" s="4" t="s">
        <v>107</v>
      </c>
      <c r="D37" s="4" t="s">
        <v>33</v>
      </c>
      <c r="E37" s="4" t="s">
        <v>34</v>
      </c>
      <c r="F37" s="4">
        <v>1</v>
      </c>
      <c r="G37" s="4" t="s">
        <v>36</v>
      </c>
      <c r="H37" s="33" t="s">
        <v>461</v>
      </c>
      <c r="I37" s="9" t="s">
        <v>462</v>
      </c>
      <c r="J37" s="10" t="s">
        <v>463</v>
      </c>
      <c r="K37" s="10" t="s">
        <v>464</v>
      </c>
      <c r="L37" s="23" t="s">
        <v>465</v>
      </c>
      <c r="M37" s="7" t="s">
        <v>466</v>
      </c>
      <c r="N37" s="7" t="s">
        <v>67</v>
      </c>
      <c r="O37" s="32">
        <v>-5.0652200000000001</v>
      </c>
      <c r="P37" s="4">
        <v>761</v>
      </c>
      <c r="Q37" s="4"/>
      <c r="R37" s="4">
        <v>764</v>
      </c>
      <c r="S37" s="4" t="s">
        <v>467</v>
      </c>
      <c r="T37" s="29" t="s">
        <v>468</v>
      </c>
    </row>
    <row r="38" spans="1:20" ht="69" customHeight="1" x14ac:dyDescent="0.3">
      <c r="A38" s="7" t="s">
        <v>469</v>
      </c>
      <c r="B38" s="4" t="s">
        <v>470</v>
      </c>
      <c r="C38" s="4" t="s">
        <v>107</v>
      </c>
      <c r="D38" s="4" t="s">
        <v>33</v>
      </c>
      <c r="E38" s="4" t="s">
        <v>34</v>
      </c>
      <c r="F38" s="4">
        <v>1</v>
      </c>
      <c r="G38" s="4" t="s">
        <v>438</v>
      </c>
      <c r="H38" s="9" t="s">
        <v>471</v>
      </c>
      <c r="I38" s="9" t="s">
        <v>472</v>
      </c>
      <c r="J38" s="10" t="s">
        <v>473</v>
      </c>
      <c r="K38" s="10" t="s">
        <v>474</v>
      </c>
      <c r="L38" s="23" t="s">
        <v>475</v>
      </c>
      <c r="M38" s="7" t="s">
        <v>476</v>
      </c>
      <c r="N38" s="7" t="s">
        <v>67</v>
      </c>
      <c r="O38" s="24">
        <v>-11.74465</v>
      </c>
      <c r="P38" s="4">
        <v>2460</v>
      </c>
      <c r="Q38" s="4"/>
      <c r="R38" s="4">
        <v>2471</v>
      </c>
      <c r="S38" s="4" t="s">
        <v>477</v>
      </c>
      <c r="T38" s="29" t="s">
        <v>478</v>
      </c>
    </row>
    <row r="39" spans="1:20" ht="69" customHeight="1" x14ac:dyDescent="0.3">
      <c r="A39" s="7" t="s">
        <v>479</v>
      </c>
      <c r="B39" s="4" t="s">
        <v>480</v>
      </c>
      <c r="C39" s="4" t="s">
        <v>107</v>
      </c>
      <c r="D39" s="4" t="s">
        <v>33</v>
      </c>
      <c r="E39" s="4" t="s">
        <v>34</v>
      </c>
      <c r="F39" s="4">
        <v>1</v>
      </c>
      <c r="G39" s="4" t="s">
        <v>142</v>
      </c>
      <c r="H39" s="8" t="s">
        <v>481</v>
      </c>
      <c r="I39" s="9" t="s">
        <v>482</v>
      </c>
      <c r="J39" s="4" t="s">
        <v>483</v>
      </c>
      <c r="K39" s="10" t="s">
        <v>484</v>
      </c>
      <c r="L39" s="26" t="s">
        <v>485</v>
      </c>
      <c r="M39" s="4" t="s">
        <v>486</v>
      </c>
      <c r="N39" s="4" t="s">
        <v>126</v>
      </c>
      <c r="O39" s="34">
        <v>2.9155600000000002</v>
      </c>
      <c r="P39" s="7"/>
      <c r="Q39" s="7"/>
      <c r="R39" s="7" t="s">
        <v>487</v>
      </c>
      <c r="S39" s="7" t="s">
        <v>488</v>
      </c>
      <c r="T39" s="12" t="s">
        <v>489</v>
      </c>
    </row>
    <row r="40" spans="1:20" ht="69" customHeight="1" x14ac:dyDescent="0.3">
      <c r="A40" s="7" t="s">
        <v>490</v>
      </c>
      <c r="B40" s="4" t="s">
        <v>491</v>
      </c>
      <c r="C40" s="4" t="s">
        <v>107</v>
      </c>
      <c r="D40" s="4" t="s">
        <v>33</v>
      </c>
      <c r="E40" s="4" t="s">
        <v>34</v>
      </c>
      <c r="F40" s="4">
        <v>1</v>
      </c>
      <c r="G40" s="4" t="s">
        <v>108</v>
      </c>
      <c r="H40" s="8" t="s">
        <v>492</v>
      </c>
      <c r="I40" s="9" t="s">
        <v>493</v>
      </c>
      <c r="J40" s="4" t="s">
        <v>494</v>
      </c>
      <c r="K40" s="10" t="s">
        <v>495</v>
      </c>
      <c r="L40" s="26" t="s">
        <v>496</v>
      </c>
      <c r="M40" s="7" t="s">
        <v>497</v>
      </c>
      <c r="N40" s="7" t="s">
        <v>67</v>
      </c>
      <c r="O40" s="35">
        <v>-3.9832900000000002</v>
      </c>
      <c r="P40" s="4">
        <v>13</v>
      </c>
      <c r="Q40" s="4"/>
      <c r="R40" s="4">
        <v>16</v>
      </c>
      <c r="S40" s="4" t="s">
        <v>498</v>
      </c>
      <c r="T40" s="12" t="s">
        <v>499</v>
      </c>
    </row>
    <row r="41" spans="1:20" ht="69" customHeight="1" x14ac:dyDescent="0.3">
      <c r="A41" s="7" t="s">
        <v>500</v>
      </c>
      <c r="B41" s="4" t="s">
        <v>501</v>
      </c>
      <c r="C41" s="4" t="s">
        <v>141</v>
      </c>
      <c r="D41" s="4" t="s">
        <v>154</v>
      </c>
      <c r="E41" s="4" t="s">
        <v>34</v>
      </c>
      <c r="F41" s="4">
        <v>1</v>
      </c>
      <c r="G41" s="4" t="s">
        <v>142</v>
      </c>
      <c r="H41" s="9" t="s">
        <v>502</v>
      </c>
      <c r="I41" s="9" t="s">
        <v>503</v>
      </c>
      <c r="J41" s="10" t="s">
        <v>504</v>
      </c>
      <c r="K41" s="10" t="s">
        <v>505</v>
      </c>
      <c r="L41" s="23" t="s">
        <v>506</v>
      </c>
      <c r="M41" s="7" t="s">
        <v>507</v>
      </c>
      <c r="N41" s="7" t="s">
        <v>508</v>
      </c>
      <c r="O41" s="7">
        <v>12.02</v>
      </c>
      <c r="P41" s="4">
        <v>1</v>
      </c>
      <c r="Q41" s="4"/>
      <c r="R41" s="4">
        <v>210</v>
      </c>
      <c r="S41" s="4" t="s">
        <v>509</v>
      </c>
      <c r="T41" s="29" t="s">
        <v>510</v>
      </c>
    </row>
    <row r="42" spans="1:20" ht="69" customHeight="1" x14ac:dyDescent="0.3">
      <c r="A42" s="7" t="s">
        <v>511</v>
      </c>
      <c r="B42" s="4" t="s">
        <v>512</v>
      </c>
      <c r="C42" s="4" t="s">
        <v>141</v>
      </c>
      <c r="D42" s="4" t="s">
        <v>33</v>
      </c>
      <c r="E42" s="4" t="s">
        <v>34</v>
      </c>
      <c r="F42" s="4">
        <v>1</v>
      </c>
      <c r="G42" s="4" t="s">
        <v>142</v>
      </c>
      <c r="H42" s="9" t="s">
        <v>513</v>
      </c>
      <c r="I42" s="9" t="s">
        <v>514</v>
      </c>
      <c r="J42" s="10" t="s">
        <v>515</v>
      </c>
      <c r="K42" s="10" t="s">
        <v>516</v>
      </c>
      <c r="L42" s="26" t="s">
        <v>517</v>
      </c>
      <c r="M42" s="7" t="s">
        <v>518</v>
      </c>
      <c r="N42" s="7" t="s">
        <v>67</v>
      </c>
      <c r="O42" s="7">
        <v>-5.79</v>
      </c>
      <c r="P42" s="4"/>
      <c r="Q42" s="4"/>
      <c r="R42" s="4"/>
      <c r="S42" s="4" t="s">
        <v>519</v>
      </c>
      <c r="T42" s="29" t="s">
        <v>520</v>
      </c>
    </row>
    <row r="43" spans="1:20" ht="69" customHeight="1" x14ac:dyDescent="0.3">
      <c r="A43" s="7" t="s">
        <v>521</v>
      </c>
      <c r="B43" s="4" t="s">
        <v>522</v>
      </c>
      <c r="C43" s="4" t="s">
        <v>141</v>
      </c>
      <c r="D43" s="4" t="s">
        <v>33</v>
      </c>
      <c r="E43" s="4" t="s">
        <v>523</v>
      </c>
      <c r="F43" s="4">
        <v>3</v>
      </c>
      <c r="G43" s="4" t="s">
        <v>142</v>
      </c>
      <c r="H43" s="9" t="s">
        <v>524</v>
      </c>
      <c r="I43" s="9" t="s">
        <v>525</v>
      </c>
      <c r="J43" s="10" t="s">
        <v>526</v>
      </c>
      <c r="K43" s="10" t="s">
        <v>527</v>
      </c>
      <c r="L43" s="26" t="s">
        <v>528</v>
      </c>
      <c r="M43" s="7" t="s">
        <v>529</v>
      </c>
      <c r="N43" s="7" t="s">
        <v>530</v>
      </c>
      <c r="O43" s="7">
        <v>2.089</v>
      </c>
      <c r="P43" s="4"/>
      <c r="Q43" s="4"/>
      <c r="R43" s="4">
        <v>444</v>
      </c>
      <c r="S43" s="4" t="s">
        <v>531</v>
      </c>
      <c r="T43" s="11" t="s">
        <v>532</v>
      </c>
    </row>
    <row r="44" spans="1:20" ht="69" customHeight="1" x14ac:dyDescent="0.3">
      <c r="A44" s="7" t="s">
        <v>533</v>
      </c>
      <c r="B44" s="4" t="s">
        <v>534</v>
      </c>
      <c r="C44" s="4" t="s">
        <v>141</v>
      </c>
      <c r="D44" s="4" t="s">
        <v>33</v>
      </c>
      <c r="E44" s="4" t="s">
        <v>535</v>
      </c>
      <c r="F44" s="4">
        <v>3</v>
      </c>
      <c r="G44" s="4" t="s">
        <v>108</v>
      </c>
      <c r="H44" s="9" t="s">
        <v>536</v>
      </c>
      <c r="I44" s="9" t="s">
        <v>537</v>
      </c>
      <c r="J44" s="10" t="s">
        <v>538</v>
      </c>
      <c r="K44" s="10" t="s">
        <v>539</v>
      </c>
      <c r="L44" s="23" t="s">
        <v>540</v>
      </c>
      <c r="M44" s="7" t="s">
        <v>541</v>
      </c>
      <c r="N44" s="7" t="s">
        <v>67</v>
      </c>
      <c r="O44" s="7">
        <v>4.25</v>
      </c>
      <c r="P44" s="4">
        <v>32</v>
      </c>
      <c r="Q44" s="4"/>
      <c r="R44" s="4">
        <v>33</v>
      </c>
      <c r="S44" s="4" t="s">
        <v>542</v>
      </c>
      <c r="T44" s="12" t="s">
        <v>543</v>
      </c>
    </row>
    <row r="45" spans="1:20" ht="69" customHeight="1" x14ac:dyDescent="0.3">
      <c r="A45" s="7" t="s">
        <v>544</v>
      </c>
      <c r="B45" s="4" t="s">
        <v>545</v>
      </c>
      <c r="C45" s="4" t="s">
        <v>141</v>
      </c>
      <c r="D45" s="4" t="s">
        <v>154</v>
      </c>
      <c r="E45" s="4" t="s">
        <v>34</v>
      </c>
      <c r="F45" s="4">
        <v>1</v>
      </c>
      <c r="G45" s="4" t="s">
        <v>36</v>
      </c>
      <c r="H45" s="9" t="s">
        <v>546</v>
      </c>
      <c r="I45" s="9" t="s">
        <v>547</v>
      </c>
      <c r="J45" s="10" t="s">
        <v>548</v>
      </c>
      <c r="K45" s="10" t="s">
        <v>549</v>
      </c>
      <c r="L45" s="23" t="s">
        <v>550</v>
      </c>
      <c r="M45" s="7" t="s">
        <v>551</v>
      </c>
      <c r="N45" s="7" t="s">
        <v>67</v>
      </c>
      <c r="O45" s="7">
        <v>2.2040000000000002</v>
      </c>
      <c r="P45" s="4">
        <v>80</v>
      </c>
      <c r="Q45" s="4"/>
      <c r="R45" s="4">
        <v>82</v>
      </c>
      <c r="S45" s="4" t="s">
        <v>552</v>
      </c>
      <c r="T45" s="12" t="s">
        <v>553</v>
      </c>
    </row>
    <row r="46" spans="1:20" ht="69" customHeight="1" x14ac:dyDescent="0.3">
      <c r="A46" s="7" t="s">
        <v>554</v>
      </c>
      <c r="B46" s="4" t="s">
        <v>555</v>
      </c>
      <c r="C46" s="4" t="s">
        <v>141</v>
      </c>
      <c r="D46" s="4" t="s">
        <v>33</v>
      </c>
      <c r="E46" s="4" t="s">
        <v>34</v>
      </c>
      <c r="F46" s="4">
        <v>3</v>
      </c>
      <c r="G46" s="4" t="s">
        <v>36</v>
      </c>
      <c r="H46" s="9" t="s">
        <v>556</v>
      </c>
      <c r="I46" s="9" t="s">
        <v>557</v>
      </c>
      <c r="J46" s="10" t="s">
        <v>558</v>
      </c>
      <c r="K46" s="10" t="s">
        <v>559</v>
      </c>
      <c r="L46" s="26" t="s">
        <v>560</v>
      </c>
      <c r="M46" s="7" t="s">
        <v>561</v>
      </c>
      <c r="N46" s="7" t="s">
        <v>201</v>
      </c>
      <c r="O46" s="7">
        <v>3.9260000000000002</v>
      </c>
      <c r="P46" s="4">
        <v>1</v>
      </c>
      <c r="Q46" s="4">
        <v>34</v>
      </c>
      <c r="R46" s="4">
        <v>36</v>
      </c>
      <c r="S46" s="4" t="s">
        <v>562</v>
      </c>
      <c r="T46" s="29" t="s">
        <v>563</v>
      </c>
    </row>
    <row r="47" spans="1:20" ht="69" customHeight="1" x14ac:dyDescent="0.3">
      <c r="A47" s="7" t="s">
        <v>564</v>
      </c>
      <c r="B47" s="4" t="s">
        <v>565</v>
      </c>
      <c r="C47" s="4" t="s">
        <v>141</v>
      </c>
      <c r="D47" s="4" t="s">
        <v>33</v>
      </c>
      <c r="E47" s="4" t="s">
        <v>34</v>
      </c>
      <c r="F47" s="4">
        <v>1</v>
      </c>
      <c r="G47" s="4" t="s">
        <v>108</v>
      </c>
      <c r="H47" s="16" t="s">
        <v>566</v>
      </c>
      <c r="I47" s="9" t="s">
        <v>567</v>
      </c>
      <c r="J47" s="13" t="s">
        <v>568</v>
      </c>
      <c r="K47" s="10" t="s">
        <v>569</v>
      </c>
      <c r="L47" s="23" t="s">
        <v>570</v>
      </c>
      <c r="M47" s="7" t="s">
        <v>571</v>
      </c>
      <c r="N47" s="7" t="s">
        <v>67</v>
      </c>
      <c r="O47" s="7">
        <v>2.7010000000000001</v>
      </c>
      <c r="P47" s="4">
        <v>68</v>
      </c>
      <c r="Q47" s="4"/>
      <c r="R47" s="4">
        <v>72</v>
      </c>
      <c r="S47" s="4" t="s">
        <v>572</v>
      </c>
      <c r="T47" s="29" t="s">
        <v>573</v>
      </c>
    </row>
    <row r="48" spans="1:20" ht="69" customHeight="1" x14ac:dyDescent="0.3">
      <c r="A48" s="7" t="s">
        <v>574</v>
      </c>
      <c r="B48" s="4" t="s">
        <v>575</v>
      </c>
      <c r="C48" s="4" t="s">
        <v>576</v>
      </c>
      <c r="D48" s="4" t="s">
        <v>33</v>
      </c>
      <c r="E48" s="4" t="s">
        <v>34</v>
      </c>
      <c r="F48" s="4">
        <v>2</v>
      </c>
      <c r="G48" s="4" t="s">
        <v>142</v>
      </c>
      <c r="H48" s="9" t="s">
        <v>577</v>
      </c>
      <c r="I48" s="9" t="s">
        <v>578</v>
      </c>
      <c r="J48" s="10" t="s">
        <v>579</v>
      </c>
      <c r="K48" s="10" t="s">
        <v>580</v>
      </c>
      <c r="L48" s="26" t="s">
        <v>581</v>
      </c>
      <c r="M48" s="7" t="s">
        <v>582</v>
      </c>
      <c r="N48" s="7"/>
      <c r="O48" s="7"/>
      <c r="P48" s="4"/>
      <c r="Q48" s="4"/>
      <c r="R48" s="4"/>
      <c r="S48" s="4" t="s">
        <v>583</v>
      </c>
      <c r="T48" s="11" t="s">
        <v>584</v>
      </c>
    </row>
    <row r="49" spans="1:20" ht="69" customHeight="1" x14ac:dyDescent="0.3">
      <c r="A49" s="7" t="s">
        <v>585</v>
      </c>
      <c r="B49" s="4" t="s">
        <v>586</v>
      </c>
      <c r="C49" s="4" t="s">
        <v>32</v>
      </c>
      <c r="D49" s="4" t="s">
        <v>33</v>
      </c>
      <c r="E49" s="4" t="s">
        <v>587</v>
      </c>
      <c r="F49" s="4">
        <v>1</v>
      </c>
      <c r="G49" s="4" t="s">
        <v>36</v>
      </c>
      <c r="H49" s="16" t="s">
        <v>588</v>
      </c>
      <c r="I49" s="9" t="s">
        <v>589</v>
      </c>
      <c r="J49" s="10" t="s">
        <v>590</v>
      </c>
      <c r="K49" s="10" t="s">
        <v>591</v>
      </c>
      <c r="L49" s="23" t="s">
        <v>592</v>
      </c>
      <c r="M49" s="7" t="s">
        <v>593</v>
      </c>
      <c r="N49" s="7"/>
      <c r="O49" s="7"/>
      <c r="P49" s="4"/>
      <c r="Q49" s="4"/>
      <c r="R49" s="4">
        <v>198</v>
      </c>
      <c r="S49" s="4" t="s">
        <v>594</v>
      </c>
      <c r="T49" s="29" t="s">
        <v>595</v>
      </c>
    </row>
    <row r="50" spans="1:20" ht="69" customHeight="1" x14ac:dyDescent="0.3">
      <c r="A50" s="7" t="s">
        <v>596</v>
      </c>
      <c r="B50" s="4" t="s">
        <v>597</v>
      </c>
      <c r="C50" s="4" t="s">
        <v>32</v>
      </c>
      <c r="D50" s="4" t="s">
        <v>154</v>
      </c>
      <c r="E50" s="4" t="s">
        <v>34</v>
      </c>
      <c r="F50" s="4">
        <v>1</v>
      </c>
      <c r="G50" s="4" t="s">
        <v>142</v>
      </c>
      <c r="H50" s="9" t="s">
        <v>598</v>
      </c>
      <c r="I50" s="9" t="s">
        <v>599</v>
      </c>
      <c r="J50" s="10" t="s">
        <v>600</v>
      </c>
      <c r="K50" s="10" t="s">
        <v>601</v>
      </c>
      <c r="L50" s="23" t="s">
        <v>602</v>
      </c>
      <c r="M50" s="36" t="s">
        <v>603</v>
      </c>
      <c r="N50" s="7" t="s">
        <v>126</v>
      </c>
      <c r="O50" s="24">
        <v>2.5555500000000002</v>
      </c>
      <c r="P50" s="4"/>
      <c r="Q50" s="4"/>
      <c r="R50" s="4">
        <v>658</v>
      </c>
      <c r="S50" s="4" t="s">
        <v>604</v>
      </c>
      <c r="T50" s="29" t="s">
        <v>605</v>
      </c>
    </row>
    <row r="51" spans="1:20" ht="69" customHeight="1" x14ac:dyDescent="0.3">
      <c r="A51" s="7" t="s">
        <v>606</v>
      </c>
      <c r="B51" s="4" t="s">
        <v>607</v>
      </c>
      <c r="C51" s="4" t="s">
        <v>32</v>
      </c>
      <c r="D51" s="4" t="s">
        <v>33</v>
      </c>
      <c r="E51" s="4" t="s">
        <v>608</v>
      </c>
      <c r="F51" s="4">
        <v>3</v>
      </c>
      <c r="G51" s="4" t="s">
        <v>142</v>
      </c>
      <c r="H51" s="9" t="s">
        <v>609</v>
      </c>
      <c r="I51" s="9" t="s">
        <v>610</v>
      </c>
      <c r="J51" s="10" t="s">
        <v>611</v>
      </c>
      <c r="K51" s="10" t="s">
        <v>612</v>
      </c>
      <c r="L51" s="26" t="s">
        <v>613</v>
      </c>
      <c r="M51" s="7" t="s">
        <v>614</v>
      </c>
      <c r="N51" s="7" t="s">
        <v>126</v>
      </c>
      <c r="O51" s="24">
        <v>2.6406900000000002</v>
      </c>
      <c r="P51" s="4"/>
      <c r="Q51" s="4"/>
      <c r="R51" s="4" t="s">
        <v>615</v>
      </c>
      <c r="S51" s="4" t="s">
        <v>616</v>
      </c>
      <c r="T51" s="29" t="s">
        <v>617</v>
      </c>
    </row>
    <row r="52" spans="1:20" ht="69" customHeight="1" x14ac:dyDescent="0.3">
      <c r="A52" s="7" t="s">
        <v>618</v>
      </c>
      <c r="B52" s="4" t="s">
        <v>619</v>
      </c>
      <c r="C52" s="4" t="s">
        <v>32</v>
      </c>
      <c r="D52" s="4" t="s">
        <v>154</v>
      </c>
      <c r="E52" s="4" t="s">
        <v>34</v>
      </c>
      <c r="F52" s="4">
        <v>1</v>
      </c>
      <c r="G52" s="4" t="s">
        <v>36</v>
      </c>
      <c r="H52" s="9" t="s">
        <v>620</v>
      </c>
      <c r="I52" s="9" t="s">
        <v>621</v>
      </c>
      <c r="J52" s="10" t="s">
        <v>622</v>
      </c>
      <c r="K52" s="10" t="s">
        <v>623</v>
      </c>
      <c r="L52" s="26" t="s">
        <v>624</v>
      </c>
      <c r="M52" s="7" t="s">
        <v>625</v>
      </c>
      <c r="N52" s="7" t="s">
        <v>126</v>
      </c>
      <c r="O52" s="32">
        <v>-2.0226000000000002</v>
      </c>
      <c r="P52" s="4"/>
      <c r="Q52" s="4"/>
      <c r="R52" s="4">
        <v>5</v>
      </c>
      <c r="S52" s="4" t="s">
        <v>626</v>
      </c>
      <c r="T52" s="29" t="s">
        <v>627</v>
      </c>
    </row>
    <row r="53" spans="1:20" ht="69" customHeight="1" x14ac:dyDescent="0.3">
      <c r="A53" s="7" t="s">
        <v>628</v>
      </c>
      <c r="B53" s="4" t="s">
        <v>629</v>
      </c>
      <c r="C53" s="4" t="s">
        <v>107</v>
      </c>
      <c r="D53" s="4" t="s">
        <v>33</v>
      </c>
      <c r="E53" s="4" t="s">
        <v>630</v>
      </c>
      <c r="F53" s="4">
        <v>2</v>
      </c>
      <c r="G53" s="4" t="s">
        <v>142</v>
      </c>
      <c r="H53" s="9" t="s">
        <v>631</v>
      </c>
      <c r="I53" s="9" t="s">
        <v>632</v>
      </c>
      <c r="J53" s="10" t="s">
        <v>633</v>
      </c>
      <c r="K53" s="10" t="s">
        <v>634</v>
      </c>
      <c r="L53" s="23" t="s">
        <v>635</v>
      </c>
      <c r="M53" s="7" t="s">
        <v>636</v>
      </c>
      <c r="N53" s="7"/>
      <c r="O53" s="7"/>
      <c r="P53" s="4"/>
      <c r="Q53" s="4"/>
      <c r="R53" s="4"/>
      <c r="S53" s="4" t="s">
        <v>637</v>
      </c>
      <c r="T53" s="29" t="s">
        <v>638</v>
      </c>
    </row>
    <row r="54" spans="1:20" ht="69" customHeight="1" x14ac:dyDescent="0.3">
      <c r="A54" s="7" t="s">
        <v>639</v>
      </c>
      <c r="B54" s="4" t="s">
        <v>640</v>
      </c>
      <c r="C54" s="4" t="s">
        <v>107</v>
      </c>
      <c r="D54" s="4" t="s">
        <v>33</v>
      </c>
      <c r="E54" s="4" t="s">
        <v>34</v>
      </c>
      <c r="F54" s="4">
        <v>1</v>
      </c>
      <c r="G54" s="4" t="s">
        <v>142</v>
      </c>
      <c r="H54" s="9" t="s">
        <v>641</v>
      </c>
      <c r="I54" s="9" t="s">
        <v>642</v>
      </c>
      <c r="J54" s="10" t="s">
        <v>643</v>
      </c>
      <c r="K54" s="10" t="s">
        <v>644</v>
      </c>
      <c r="L54" s="23" t="s">
        <v>645</v>
      </c>
      <c r="M54" s="7" t="s">
        <v>646</v>
      </c>
      <c r="N54" s="7" t="s">
        <v>126</v>
      </c>
      <c r="O54" s="32">
        <v>2.5114700000000001</v>
      </c>
      <c r="P54" s="4"/>
      <c r="Q54" s="4"/>
      <c r="R54" s="4">
        <v>906</v>
      </c>
      <c r="S54" s="4" t="s">
        <v>647</v>
      </c>
      <c r="T54" s="11" t="s">
        <v>648</v>
      </c>
    </row>
    <row r="55" spans="1:20" ht="69" customHeight="1" x14ac:dyDescent="0.3">
      <c r="A55" s="7" t="s">
        <v>649</v>
      </c>
      <c r="B55" s="4" t="s">
        <v>650</v>
      </c>
      <c r="C55" s="4" t="s">
        <v>107</v>
      </c>
      <c r="D55" s="4" t="s">
        <v>33</v>
      </c>
      <c r="E55" s="4" t="s">
        <v>256</v>
      </c>
      <c r="F55" s="4">
        <v>1</v>
      </c>
      <c r="G55" s="4" t="s">
        <v>36</v>
      </c>
      <c r="H55" s="9" t="s">
        <v>651</v>
      </c>
      <c r="I55" s="9" t="s">
        <v>652</v>
      </c>
      <c r="J55" s="10" t="s">
        <v>653</v>
      </c>
      <c r="K55" s="10" t="s">
        <v>654</v>
      </c>
      <c r="L55" s="23" t="s">
        <v>655</v>
      </c>
      <c r="M55" s="7" t="s">
        <v>656</v>
      </c>
      <c r="N55" s="7" t="s">
        <v>67</v>
      </c>
      <c r="O55" s="7">
        <v>2.7001336899999999</v>
      </c>
      <c r="P55" s="4">
        <v>1861</v>
      </c>
      <c r="Q55" s="4"/>
      <c r="R55" s="4">
        <v>1863</v>
      </c>
      <c r="S55" s="4" t="s">
        <v>657</v>
      </c>
      <c r="T55" s="29" t="s">
        <v>658</v>
      </c>
    </row>
    <row r="56" spans="1:20" ht="69" customHeight="1" x14ac:dyDescent="0.3">
      <c r="A56" s="7" t="s">
        <v>659</v>
      </c>
      <c r="B56" s="4" t="s">
        <v>660</v>
      </c>
      <c r="C56" s="4" t="s">
        <v>141</v>
      </c>
      <c r="D56" s="4" t="s">
        <v>33</v>
      </c>
      <c r="E56" s="4" t="s">
        <v>661</v>
      </c>
      <c r="F56" s="4">
        <v>3</v>
      </c>
      <c r="G56" s="4" t="s">
        <v>36</v>
      </c>
      <c r="H56" s="9" t="s">
        <v>662</v>
      </c>
      <c r="I56" s="9" t="s">
        <v>663</v>
      </c>
      <c r="J56" s="10" t="s">
        <v>664</v>
      </c>
      <c r="K56" s="10" t="s">
        <v>665</v>
      </c>
      <c r="L56" s="23" t="s">
        <v>666</v>
      </c>
      <c r="M56" s="7" t="s">
        <v>667</v>
      </c>
      <c r="N56" s="7" t="s">
        <v>67</v>
      </c>
      <c r="O56" s="7">
        <v>-65.69</v>
      </c>
      <c r="P56" s="4">
        <v>1998</v>
      </c>
      <c r="Q56" s="4"/>
      <c r="R56" s="4"/>
      <c r="S56" s="4" t="s">
        <v>668</v>
      </c>
      <c r="T56" s="29" t="s">
        <v>669</v>
      </c>
    </row>
    <row r="57" spans="1:20" ht="69" customHeight="1" x14ac:dyDescent="0.3">
      <c r="A57" s="7" t="s">
        <v>670</v>
      </c>
      <c r="B57" s="4" t="s">
        <v>671</v>
      </c>
      <c r="C57" s="4" t="s">
        <v>576</v>
      </c>
      <c r="D57" s="4" t="s">
        <v>672</v>
      </c>
      <c r="E57" s="4" t="s">
        <v>630</v>
      </c>
      <c r="F57" s="4">
        <v>2</v>
      </c>
      <c r="G57" s="4" t="s">
        <v>36</v>
      </c>
      <c r="H57" s="9" t="s">
        <v>673</v>
      </c>
      <c r="I57" s="9" t="s">
        <v>674</v>
      </c>
      <c r="J57" s="10" t="s">
        <v>675</v>
      </c>
      <c r="K57" s="10" t="s">
        <v>676</v>
      </c>
      <c r="L57" s="26" t="s">
        <v>677</v>
      </c>
      <c r="M57" s="7" t="s">
        <v>678</v>
      </c>
      <c r="N57" s="7"/>
      <c r="O57" s="7"/>
      <c r="P57" s="4"/>
      <c r="Q57" s="4"/>
      <c r="R57" s="4"/>
      <c r="S57" s="4" t="s">
        <v>679</v>
      </c>
      <c r="T57" s="11" t="s">
        <v>680</v>
      </c>
    </row>
    <row r="58" spans="1:20" ht="69" customHeight="1" x14ac:dyDescent="0.3">
      <c r="A58" s="7" t="s">
        <v>681</v>
      </c>
      <c r="B58" s="4" t="s">
        <v>682</v>
      </c>
      <c r="C58" s="4" t="s">
        <v>576</v>
      </c>
      <c r="D58" s="4" t="s">
        <v>33</v>
      </c>
      <c r="E58" s="4" t="s">
        <v>683</v>
      </c>
      <c r="F58" s="4">
        <v>2</v>
      </c>
      <c r="G58" s="4" t="s">
        <v>142</v>
      </c>
      <c r="H58" s="9" t="s">
        <v>684</v>
      </c>
      <c r="I58" s="9" t="s">
        <v>685</v>
      </c>
      <c r="J58" s="10" t="s">
        <v>686</v>
      </c>
      <c r="K58" s="10" t="s">
        <v>687</v>
      </c>
      <c r="L58" s="26" t="s">
        <v>688</v>
      </c>
      <c r="M58" s="7" t="s">
        <v>689</v>
      </c>
      <c r="N58" s="7"/>
      <c r="O58" s="7"/>
      <c r="P58" s="4"/>
      <c r="Q58" s="4"/>
      <c r="R58" s="4"/>
      <c r="S58" s="4" t="s">
        <v>690</v>
      </c>
      <c r="T58" s="29" t="s">
        <v>691</v>
      </c>
    </row>
    <row r="59" spans="1:20" ht="69" customHeight="1" x14ac:dyDescent="0.3">
      <c r="A59" s="7" t="s">
        <v>692</v>
      </c>
      <c r="B59" s="4" t="s">
        <v>693</v>
      </c>
      <c r="C59" s="4" t="s">
        <v>576</v>
      </c>
      <c r="D59" s="4" t="s">
        <v>154</v>
      </c>
      <c r="E59" s="4" t="s">
        <v>34</v>
      </c>
      <c r="F59" s="4">
        <v>1</v>
      </c>
      <c r="G59" s="4" t="s">
        <v>36</v>
      </c>
      <c r="H59" s="9" t="s">
        <v>694</v>
      </c>
      <c r="I59" s="9" t="s">
        <v>695</v>
      </c>
      <c r="J59" s="10" t="s">
        <v>696</v>
      </c>
      <c r="K59" s="10" t="s">
        <v>697</v>
      </c>
      <c r="L59" s="26" t="s">
        <v>698</v>
      </c>
      <c r="M59" s="7" t="s">
        <v>699</v>
      </c>
      <c r="N59" s="7" t="s">
        <v>126</v>
      </c>
      <c r="O59" s="7">
        <v>2.3037999999999998</v>
      </c>
      <c r="P59" s="4"/>
      <c r="Q59" s="4"/>
      <c r="R59" s="4">
        <v>1921</v>
      </c>
      <c r="S59" s="4" t="s">
        <v>700</v>
      </c>
      <c r="T59" s="11" t="s">
        <v>701</v>
      </c>
    </row>
    <row r="60" spans="1:20" ht="69" customHeight="1" x14ac:dyDescent="0.3">
      <c r="A60" s="7" t="s">
        <v>702</v>
      </c>
      <c r="B60" s="4" t="s">
        <v>703</v>
      </c>
      <c r="C60" s="4" t="s">
        <v>310</v>
      </c>
      <c r="D60" s="4" t="s">
        <v>704</v>
      </c>
      <c r="E60" s="4" t="s">
        <v>34</v>
      </c>
      <c r="F60" s="7">
        <v>1</v>
      </c>
      <c r="G60" s="7" t="s">
        <v>36</v>
      </c>
      <c r="H60" s="9" t="s">
        <v>705</v>
      </c>
      <c r="I60" s="9" t="s">
        <v>706</v>
      </c>
      <c r="J60" s="10" t="s">
        <v>707</v>
      </c>
      <c r="K60" s="10" t="s">
        <v>708</v>
      </c>
      <c r="L60" s="23" t="s">
        <v>709</v>
      </c>
      <c r="M60" s="7" t="s">
        <v>710</v>
      </c>
      <c r="N60" s="7" t="s">
        <v>67</v>
      </c>
      <c r="O60" s="7">
        <v>2.4300000000000002</v>
      </c>
      <c r="P60" s="4">
        <v>100</v>
      </c>
      <c r="Q60" s="4"/>
      <c r="R60" s="4">
        <v>101</v>
      </c>
      <c r="S60" s="4" t="s">
        <v>711</v>
      </c>
      <c r="T60" s="37" t="s">
        <v>712</v>
      </c>
    </row>
    <row r="61" spans="1:20" ht="69" customHeight="1" x14ac:dyDescent="0.3">
      <c r="A61" s="7" t="s">
        <v>713</v>
      </c>
      <c r="B61" s="4" t="s">
        <v>714</v>
      </c>
      <c r="C61" s="7" t="s">
        <v>141</v>
      </c>
      <c r="D61" s="4" t="s">
        <v>704</v>
      </c>
      <c r="E61" s="4" t="s">
        <v>715</v>
      </c>
      <c r="F61" s="7">
        <v>1</v>
      </c>
      <c r="G61" s="7" t="s">
        <v>142</v>
      </c>
      <c r="H61" s="16" t="s">
        <v>716</v>
      </c>
      <c r="I61" s="9" t="s">
        <v>717</v>
      </c>
      <c r="J61" s="10" t="s">
        <v>718</v>
      </c>
      <c r="K61" s="10" t="s">
        <v>719</v>
      </c>
      <c r="L61" s="26" t="s">
        <v>720</v>
      </c>
      <c r="M61" s="7" t="s">
        <v>721</v>
      </c>
      <c r="N61" s="7" t="s">
        <v>67</v>
      </c>
      <c r="O61" s="7">
        <v>4.87</v>
      </c>
      <c r="P61" s="4">
        <v>79</v>
      </c>
      <c r="Q61" s="4"/>
      <c r="R61" s="4">
        <v>80</v>
      </c>
      <c r="S61" s="4" t="s">
        <v>722</v>
      </c>
      <c r="T61" s="12" t="s">
        <v>723</v>
      </c>
    </row>
    <row r="62" spans="1:20" ht="69" customHeight="1" x14ac:dyDescent="0.3">
      <c r="A62" s="7" t="s">
        <v>724</v>
      </c>
      <c r="B62" s="4" t="s">
        <v>725</v>
      </c>
      <c r="C62" s="7" t="s">
        <v>141</v>
      </c>
      <c r="D62" s="4" t="s">
        <v>704</v>
      </c>
      <c r="E62" s="4" t="s">
        <v>34</v>
      </c>
      <c r="F62" s="7">
        <v>1</v>
      </c>
      <c r="G62" s="7" t="s">
        <v>36</v>
      </c>
      <c r="H62" s="9" t="s">
        <v>726</v>
      </c>
      <c r="I62" s="9" t="s">
        <v>727</v>
      </c>
      <c r="J62" s="10" t="s">
        <v>728</v>
      </c>
      <c r="K62" s="10" t="s">
        <v>729</v>
      </c>
      <c r="L62" s="23" t="s">
        <v>730</v>
      </c>
      <c r="M62" s="7" t="s">
        <v>731</v>
      </c>
      <c r="N62" s="7"/>
      <c r="O62" s="7"/>
      <c r="P62" s="4"/>
      <c r="Q62" s="4"/>
      <c r="R62" s="4"/>
      <c r="S62" s="4" t="s">
        <v>732</v>
      </c>
      <c r="T62" s="37" t="s">
        <v>733</v>
      </c>
    </row>
    <row r="63" spans="1:20" ht="69" customHeight="1" x14ac:dyDescent="0.3">
      <c r="A63" s="7" t="s">
        <v>734</v>
      </c>
      <c r="B63" s="13" t="s">
        <v>735</v>
      </c>
      <c r="C63" s="7" t="s">
        <v>141</v>
      </c>
      <c r="D63" s="4" t="s">
        <v>704</v>
      </c>
      <c r="E63" s="4" t="s">
        <v>34</v>
      </c>
      <c r="F63" s="7">
        <v>3</v>
      </c>
      <c r="G63" s="7" t="s">
        <v>36</v>
      </c>
      <c r="H63" s="9" t="s">
        <v>736</v>
      </c>
      <c r="I63" s="9" t="s">
        <v>737</v>
      </c>
      <c r="J63" s="10" t="s">
        <v>738</v>
      </c>
      <c r="K63" s="10" t="s">
        <v>739</v>
      </c>
      <c r="L63" s="26" t="s">
        <v>740</v>
      </c>
      <c r="M63" s="7" t="s">
        <v>741</v>
      </c>
      <c r="N63" s="7" t="s">
        <v>67</v>
      </c>
      <c r="O63" s="38">
        <v>3.6</v>
      </c>
      <c r="P63" s="4">
        <v>198</v>
      </c>
      <c r="Q63" s="4"/>
      <c r="R63" s="4"/>
      <c r="S63" s="4" t="s">
        <v>742</v>
      </c>
      <c r="T63" s="12" t="s">
        <v>743</v>
      </c>
    </row>
    <row r="64" spans="1:20" ht="69" customHeight="1" x14ac:dyDescent="0.3">
      <c r="A64" s="7" t="s">
        <v>744</v>
      </c>
      <c r="B64" s="4" t="s">
        <v>745</v>
      </c>
      <c r="C64" s="7" t="s">
        <v>141</v>
      </c>
      <c r="D64" s="4" t="s">
        <v>704</v>
      </c>
      <c r="E64" s="4" t="s">
        <v>34</v>
      </c>
      <c r="F64" s="7">
        <v>1</v>
      </c>
      <c r="G64" s="7" t="s">
        <v>36</v>
      </c>
      <c r="H64" s="9" t="s">
        <v>746</v>
      </c>
      <c r="I64" s="9" t="s">
        <v>747</v>
      </c>
      <c r="J64" s="10" t="s">
        <v>738</v>
      </c>
      <c r="K64" s="10" t="s">
        <v>748</v>
      </c>
      <c r="L64" s="23" t="s">
        <v>749</v>
      </c>
      <c r="M64" s="7" t="s">
        <v>750</v>
      </c>
      <c r="N64" s="7" t="s">
        <v>67</v>
      </c>
      <c r="O64" s="7">
        <v>2.12</v>
      </c>
      <c r="P64" s="4">
        <v>14</v>
      </c>
      <c r="Q64" s="4"/>
      <c r="R64" s="4">
        <v>15</v>
      </c>
      <c r="S64" s="4" t="s">
        <v>751</v>
      </c>
      <c r="T64" s="37" t="s">
        <v>752</v>
      </c>
    </row>
    <row r="65" spans="1:20" ht="69" customHeight="1" x14ac:dyDescent="0.3">
      <c r="A65" s="7" t="s">
        <v>753</v>
      </c>
      <c r="B65" s="7" t="s">
        <v>754</v>
      </c>
      <c r="C65" s="7" t="s">
        <v>32</v>
      </c>
      <c r="D65" s="4" t="s">
        <v>33</v>
      </c>
      <c r="E65" s="4" t="s">
        <v>34</v>
      </c>
      <c r="F65" s="7">
        <v>1</v>
      </c>
      <c r="G65" s="7" t="s">
        <v>142</v>
      </c>
      <c r="H65" s="16" t="s">
        <v>755</v>
      </c>
      <c r="I65" s="9" t="s">
        <v>756</v>
      </c>
      <c r="J65" s="7" t="s">
        <v>757</v>
      </c>
      <c r="K65" s="10" t="s">
        <v>758</v>
      </c>
      <c r="L65" s="23" t="s">
        <v>759</v>
      </c>
      <c r="M65" s="7" t="s">
        <v>760</v>
      </c>
      <c r="N65" s="7" t="s">
        <v>263</v>
      </c>
      <c r="O65" s="7">
        <v>2.7102536000000002</v>
      </c>
      <c r="P65" s="7">
        <v>89</v>
      </c>
      <c r="Q65" s="7"/>
      <c r="R65" s="7">
        <v>1295</v>
      </c>
      <c r="S65" s="7" t="s">
        <v>761</v>
      </c>
      <c r="T65" s="14" t="s">
        <v>762</v>
      </c>
    </row>
    <row r="66" spans="1:20" ht="69" customHeight="1" x14ac:dyDescent="0.3">
      <c r="A66" s="7" t="s">
        <v>763</v>
      </c>
      <c r="B66" s="7" t="s">
        <v>764</v>
      </c>
      <c r="C66" s="7" t="s">
        <v>32</v>
      </c>
      <c r="D66" s="4" t="s">
        <v>33</v>
      </c>
      <c r="E66" s="4" t="s">
        <v>765</v>
      </c>
      <c r="F66" s="7">
        <v>1</v>
      </c>
      <c r="G66" s="7" t="s">
        <v>142</v>
      </c>
      <c r="H66" s="33" t="s">
        <v>766</v>
      </c>
      <c r="I66" s="9" t="s">
        <v>767</v>
      </c>
      <c r="J66" s="7" t="s">
        <v>768</v>
      </c>
      <c r="K66" s="10" t="s">
        <v>769</v>
      </c>
      <c r="L66" s="23" t="s">
        <v>770</v>
      </c>
      <c r="M66" s="7"/>
      <c r="N66" s="7" t="s">
        <v>263</v>
      </c>
      <c r="O66" s="7">
        <v>-2.1392527000000001</v>
      </c>
      <c r="P66" s="7">
        <v>117</v>
      </c>
      <c r="Q66" s="7"/>
      <c r="R66" s="7">
        <v>4352</v>
      </c>
      <c r="S66" s="7" t="s">
        <v>771</v>
      </c>
      <c r="T66" s="14" t="s">
        <v>772</v>
      </c>
    </row>
    <row r="67" spans="1:20" ht="69" customHeight="1" x14ac:dyDescent="0.3">
      <c r="A67" s="7" t="s">
        <v>773</v>
      </c>
      <c r="B67" s="4" t="s">
        <v>774</v>
      </c>
      <c r="C67" s="7" t="s">
        <v>32</v>
      </c>
      <c r="D67" s="4" t="s">
        <v>317</v>
      </c>
      <c r="E67" s="4" t="s">
        <v>775</v>
      </c>
      <c r="F67" s="7">
        <v>1</v>
      </c>
      <c r="G67" s="7" t="s">
        <v>36</v>
      </c>
      <c r="H67" s="16" t="s">
        <v>776</v>
      </c>
      <c r="I67" s="9" t="s">
        <v>777</v>
      </c>
      <c r="J67" s="7" t="s">
        <v>778</v>
      </c>
      <c r="K67" s="10" t="s">
        <v>779</v>
      </c>
      <c r="L67" s="26" t="s">
        <v>780</v>
      </c>
      <c r="M67" s="7"/>
      <c r="N67" s="7" t="s">
        <v>67</v>
      </c>
      <c r="O67" s="7">
        <v>-2.2178702600000002</v>
      </c>
      <c r="P67" s="7">
        <v>59</v>
      </c>
      <c r="Q67" s="7"/>
      <c r="R67" s="7">
        <v>60</v>
      </c>
      <c r="S67" s="7" t="s">
        <v>781</v>
      </c>
      <c r="T67" s="14" t="s">
        <v>782</v>
      </c>
    </row>
    <row r="68" spans="1:20" ht="69" customHeight="1" x14ac:dyDescent="0.3">
      <c r="A68" s="7" t="s">
        <v>783</v>
      </c>
      <c r="B68" s="4" t="s">
        <v>784</v>
      </c>
      <c r="C68" s="7" t="s">
        <v>32</v>
      </c>
      <c r="D68" s="4" t="s">
        <v>317</v>
      </c>
      <c r="E68" s="4" t="s">
        <v>775</v>
      </c>
      <c r="F68" s="7">
        <v>1</v>
      </c>
      <c r="G68" s="7" t="s">
        <v>108</v>
      </c>
      <c r="H68" s="9" t="s">
        <v>785</v>
      </c>
      <c r="I68" s="9" t="s">
        <v>786</v>
      </c>
      <c r="J68" s="7" t="s">
        <v>787</v>
      </c>
      <c r="K68" s="10" t="s">
        <v>788</v>
      </c>
      <c r="L68" s="23" t="s">
        <v>789</v>
      </c>
      <c r="M68" s="7"/>
      <c r="N68" s="7" t="s">
        <v>126</v>
      </c>
      <c r="O68" s="7">
        <v>3.8695200000000001</v>
      </c>
      <c r="P68" s="7"/>
      <c r="Q68" s="7"/>
      <c r="R68" s="7">
        <v>48</v>
      </c>
      <c r="S68" s="7" t="s">
        <v>790</v>
      </c>
      <c r="T68" s="14" t="s">
        <v>791</v>
      </c>
    </row>
    <row r="69" spans="1:20" ht="69" customHeight="1" x14ac:dyDescent="0.3">
      <c r="A69" s="7" t="s">
        <v>792</v>
      </c>
      <c r="B69" s="4" t="s">
        <v>793</v>
      </c>
      <c r="C69" s="7" t="s">
        <v>32</v>
      </c>
      <c r="D69" s="4" t="s">
        <v>317</v>
      </c>
      <c r="E69" s="4" t="s">
        <v>775</v>
      </c>
      <c r="F69" s="7">
        <v>1</v>
      </c>
      <c r="G69" s="7" t="s">
        <v>142</v>
      </c>
      <c r="H69" s="9" t="s">
        <v>794</v>
      </c>
      <c r="I69" s="9" t="s">
        <v>795</v>
      </c>
      <c r="J69" s="7" t="s">
        <v>796</v>
      </c>
      <c r="K69" s="39" t="s">
        <v>797</v>
      </c>
      <c r="L69" s="40" t="s">
        <v>798</v>
      </c>
      <c r="M69" s="7"/>
      <c r="N69" s="7" t="s">
        <v>263</v>
      </c>
      <c r="O69" s="7">
        <v>3.4260700000000002</v>
      </c>
      <c r="P69" s="7">
        <v>69</v>
      </c>
      <c r="Q69" s="7"/>
      <c r="R69" s="7">
        <v>71</v>
      </c>
      <c r="S69" s="7" t="s">
        <v>799</v>
      </c>
      <c r="T69" s="14" t="s">
        <v>800</v>
      </c>
    </row>
    <row r="70" spans="1:20" ht="69" customHeight="1" x14ac:dyDescent="0.3">
      <c r="A70" s="7" t="s">
        <v>801</v>
      </c>
      <c r="B70" s="4" t="s">
        <v>802</v>
      </c>
      <c r="C70" s="7" t="s">
        <v>32</v>
      </c>
      <c r="D70" s="4" t="s">
        <v>33</v>
      </c>
      <c r="E70" s="4" t="s">
        <v>34</v>
      </c>
      <c r="F70" s="7">
        <v>1</v>
      </c>
      <c r="G70" s="7" t="s">
        <v>36</v>
      </c>
      <c r="H70" s="16" t="s">
        <v>803</v>
      </c>
      <c r="I70" s="9" t="s">
        <v>804</v>
      </c>
      <c r="J70" s="7" t="s">
        <v>805</v>
      </c>
      <c r="K70" s="10" t="s">
        <v>806</v>
      </c>
      <c r="L70" s="26" t="s">
        <v>807</v>
      </c>
      <c r="M70" s="7"/>
      <c r="N70" s="7" t="s">
        <v>67</v>
      </c>
      <c r="O70" s="7">
        <v>-6.0972758999999996</v>
      </c>
      <c r="P70" s="7">
        <v>7</v>
      </c>
      <c r="Q70" s="7"/>
      <c r="R70" s="28">
        <v>4416</v>
      </c>
      <c r="S70" s="7"/>
      <c r="T70" s="14" t="s">
        <v>808</v>
      </c>
    </row>
    <row r="71" spans="1:20" ht="69" customHeight="1" x14ac:dyDescent="0.3">
      <c r="A71" s="7" t="s">
        <v>809</v>
      </c>
      <c r="B71" s="7" t="s">
        <v>810</v>
      </c>
      <c r="C71" s="7" t="s">
        <v>32</v>
      </c>
      <c r="D71" s="4" t="s">
        <v>317</v>
      </c>
      <c r="E71" s="4" t="s">
        <v>775</v>
      </c>
      <c r="F71" s="7">
        <v>3</v>
      </c>
      <c r="G71" s="7" t="s">
        <v>438</v>
      </c>
      <c r="H71" s="33" t="s">
        <v>811</v>
      </c>
      <c r="I71" s="9" t="s">
        <v>812</v>
      </c>
      <c r="J71" s="7" t="s">
        <v>813</v>
      </c>
      <c r="K71" s="10" t="s">
        <v>814</v>
      </c>
      <c r="L71" s="23" t="s">
        <v>815</v>
      </c>
      <c r="M71" s="7"/>
      <c r="N71" s="7" t="s">
        <v>67</v>
      </c>
      <c r="O71" s="7">
        <v>8.2054790000000004</v>
      </c>
      <c r="P71" s="7" t="s">
        <v>816</v>
      </c>
      <c r="Q71" s="7"/>
      <c r="R71" s="7">
        <v>3539</v>
      </c>
      <c r="S71" s="7"/>
      <c r="T71" s="14" t="s">
        <v>817</v>
      </c>
    </row>
    <row r="72" spans="1:20" ht="69" customHeight="1" x14ac:dyDescent="0.3">
      <c r="A72" s="7" t="s">
        <v>818</v>
      </c>
      <c r="B72" s="4" t="s">
        <v>819</v>
      </c>
      <c r="C72" s="7" t="s">
        <v>107</v>
      </c>
      <c r="D72" s="4" t="s">
        <v>317</v>
      </c>
      <c r="E72" s="4" t="s">
        <v>775</v>
      </c>
      <c r="F72" s="7">
        <v>3</v>
      </c>
      <c r="G72" s="7" t="s">
        <v>36</v>
      </c>
      <c r="H72" s="16" t="s">
        <v>820</v>
      </c>
      <c r="I72" s="9" t="s">
        <v>821</v>
      </c>
      <c r="J72" s="7" t="s">
        <v>822</v>
      </c>
      <c r="K72" s="10" t="s">
        <v>823</v>
      </c>
      <c r="L72" s="26" t="s">
        <v>824</v>
      </c>
      <c r="M72" s="7"/>
      <c r="N72" s="7" t="s">
        <v>825</v>
      </c>
      <c r="O72" s="7">
        <v>3.7272726999999999</v>
      </c>
      <c r="P72" s="7">
        <v>1</v>
      </c>
      <c r="Q72" s="7"/>
      <c r="R72" s="7">
        <v>549</v>
      </c>
      <c r="S72" s="7" t="s">
        <v>826</v>
      </c>
      <c r="T72" s="14" t="s">
        <v>827</v>
      </c>
    </row>
    <row r="73" spans="1:20" ht="69" customHeight="1" x14ac:dyDescent="0.3">
      <c r="A73" s="7" t="s">
        <v>828</v>
      </c>
      <c r="B73" s="7" t="s">
        <v>829</v>
      </c>
      <c r="C73" s="7" t="s">
        <v>107</v>
      </c>
      <c r="D73" s="4" t="s">
        <v>33</v>
      </c>
      <c r="E73" s="4" t="s">
        <v>34</v>
      </c>
      <c r="F73" s="7">
        <v>3</v>
      </c>
      <c r="G73" s="7" t="s">
        <v>438</v>
      </c>
      <c r="H73" s="9" t="s">
        <v>830</v>
      </c>
      <c r="I73" s="9" t="s">
        <v>831</v>
      </c>
      <c r="J73" s="7" t="s">
        <v>832</v>
      </c>
      <c r="K73" s="10" t="s">
        <v>833</v>
      </c>
      <c r="L73" s="26" t="s">
        <v>834</v>
      </c>
      <c r="M73" s="7"/>
      <c r="N73" s="7" t="s">
        <v>126</v>
      </c>
      <c r="O73" s="7">
        <v>2.5263200000000001</v>
      </c>
      <c r="P73" s="7"/>
      <c r="Q73" s="7"/>
      <c r="R73" s="7">
        <v>1287</v>
      </c>
      <c r="S73" s="7" t="s">
        <v>835</v>
      </c>
      <c r="T73" s="14" t="s">
        <v>836</v>
      </c>
    </row>
    <row r="74" spans="1:20" ht="69" customHeight="1" x14ac:dyDescent="0.3">
      <c r="A74" s="7" t="s">
        <v>837</v>
      </c>
      <c r="B74" s="4" t="s">
        <v>838</v>
      </c>
      <c r="C74" s="4" t="s">
        <v>107</v>
      </c>
      <c r="D74" s="4" t="s">
        <v>33</v>
      </c>
      <c r="E74" s="4" t="s">
        <v>34</v>
      </c>
      <c r="F74" s="4">
        <v>1</v>
      </c>
      <c r="G74" s="4" t="s">
        <v>438</v>
      </c>
      <c r="H74" s="9" t="s">
        <v>839</v>
      </c>
      <c r="I74" s="9" t="s">
        <v>840</v>
      </c>
      <c r="J74" s="10" t="s">
        <v>841</v>
      </c>
      <c r="K74" s="10" t="s">
        <v>842</v>
      </c>
      <c r="L74" s="23" t="s">
        <v>843</v>
      </c>
      <c r="M74" s="7" t="s">
        <v>844</v>
      </c>
      <c r="N74" s="7" t="s">
        <v>126</v>
      </c>
      <c r="O74" s="7">
        <v>-15.2942</v>
      </c>
      <c r="P74" s="7"/>
      <c r="Q74" s="7"/>
      <c r="R74" s="7">
        <v>2682</v>
      </c>
      <c r="S74" s="7" t="s">
        <v>845</v>
      </c>
      <c r="T74" s="29" t="s">
        <v>846</v>
      </c>
    </row>
    <row r="75" spans="1:20" ht="69" customHeight="1" x14ac:dyDescent="0.3">
      <c r="A75" s="7" t="s">
        <v>847</v>
      </c>
      <c r="B75" s="4" t="s">
        <v>848</v>
      </c>
      <c r="C75" s="4" t="s">
        <v>107</v>
      </c>
      <c r="D75" s="4" t="s">
        <v>33</v>
      </c>
      <c r="E75" s="4" t="s">
        <v>849</v>
      </c>
      <c r="F75" s="4">
        <v>1</v>
      </c>
      <c r="G75" s="4" t="s">
        <v>108</v>
      </c>
      <c r="H75" s="8" t="s">
        <v>850</v>
      </c>
      <c r="I75" s="9" t="s">
        <v>851</v>
      </c>
      <c r="J75" s="4" t="s">
        <v>852</v>
      </c>
      <c r="K75" s="10" t="s">
        <v>853</v>
      </c>
      <c r="L75" s="23" t="s">
        <v>854</v>
      </c>
      <c r="M75" s="7" t="s">
        <v>855</v>
      </c>
      <c r="N75" s="7" t="s">
        <v>856</v>
      </c>
      <c r="O75" s="7">
        <v>3.4884944999999998</v>
      </c>
      <c r="P75" s="7"/>
      <c r="Q75" s="7"/>
      <c r="R75" s="28">
        <v>2788</v>
      </c>
      <c r="S75" s="7"/>
      <c r="T75" s="23" t="s">
        <v>857</v>
      </c>
    </row>
    <row r="76" spans="1:20" ht="69" customHeight="1" x14ac:dyDescent="0.3">
      <c r="A76" s="7" t="s">
        <v>858</v>
      </c>
      <c r="B76" s="4" t="s">
        <v>859</v>
      </c>
      <c r="C76" s="4" t="s">
        <v>107</v>
      </c>
      <c r="D76" s="4" t="s">
        <v>33</v>
      </c>
      <c r="E76" s="4" t="s">
        <v>34</v>
      </c>
      <c r="F76" s="4">
        <v>1</v>
      </c>
      <c r="G76" s="4" t="s">
        <v>142</v>
      </c>
      <c r="H76" s="8" t="s">
        <v>860</v>
      </c>
      <c r="I76" s="9" t="s">
        <v>861</v>
      </c>
      <c r="J76" s="4" t="s">
        <v>862</v>
      </c>
      <c r="K76" s="4" t="s">
        <v>863</v>
      </c>
      <c r="L76" s="23" t="s">
        <v>864</v>
      </c>
      <c r="M76" s="4"/>
      <c r="N76" s="7" t="s">
        <v>126</v>
      </c>
      <c r="O76" s="7">
        <v>4.444</v>
      </c>
      <c r="P76" s="7"/>
      <c r="Q76" s="7"/>
      <c r="R76" s="7">
        <v>2216</v>
      </c>
      <c r="S76" s="7"/>
      <c r="T76" s="29" t="s">
        <v>865</v>
      </c>
    </row>
    <row r="77" spans="1:20" ht="69" customHeight="1" x14ac:dyDescent="0.3">
      <c r="A77" s="4" t="s">
        <v>866</v>
      </c>
      <c r="B77" s="4" t="s">
        <v>867</v>
      </c>
      <c r="C77" s="4" t="s">
        <v>107</v>
      </c>
      <c r="D77" s="4" t="s">
        <v>33</v>
      </c>
      <c r="E77" s="4" t="s">
        <v>34</v>
      </c>
      <c r="F77" s="4">
        <v>1</v>
      </c>
      <c r="G77" s="4" t="s">
        <v>36</v>
      </c>
      <c r="H77" s="8" t="s">
        <v>868</v>
      </c>
      <c r="I77" s="9" t="s">
        <v>869</v>
      </c>
      <c r="J77" s="4" t="s">
        <v>870</v>
      </c>
      <c r="K77" s="4" t="s">
        <v>871</v>
      </c>
      <c r="L77" s="26" t="s">
        <v>872</v>
      </c>
      <c r="M77" s="4"/>
      <c r="N77" s="7" t="s">
        <v>126</v>
      </c>
      <c r="O77" s="7">
        <v>1.9642809999999999</v>
      </c>
      <c r="P77" s="7">
        <v>30</v>
      </c>
      <c r="Q77" s="7"/>
      <c r="R77" s="41">
        <v>174</v>
      </c>
      <c r="S77" s="7"/>
      <c r="T77" s="11" t="s">
        <v>873</v>
      </c>
    </row>
    <row r="78" spans="1:20" ht="69" customHeight="1" x14ac:dyDescent="0.3">
      <c r="A78" s="4" t="s">
        <v>874</v>
      </c>
      <c r="B78" s="4" t="s">
        <v>875</v>
      </c>
      <c r="C78" s="4" t="s">
        <v>107</v>
      </c>
      <c r="D78" s="4" t="s">
        <v>704</v>
      </c>
      <c r="E78" s="4" t="s">
        <v>765</v>
      </c>
      <c r="F78" s="4">
        <v>1</v>
      </c>
      <c r="G78" s="4" t="s">
        <v>36</v>
      </c>
      <c r="H78" s="8" t="s">
        <v>876</v>
      </c>
      <c r="I78" s="9" t="s">
        <v>877</v>
      </c>
      <c r="J78" s="4" t="s">
        <v>878</v>
      </c>
      <c r="K78" s="4" t="s">
        <v>879</v>
      </c>
      <c r="L78" s="23" t="s">
        <v>880</v>
      </c>
      <c r="M78" s="4"/>
      <c r="N78" s="7" t="s">
        <v>126</v>
      </c>
      <c r="O78" s="7">
        <v>3.2281399999999998</v>
      </c>
      <c r="P78" s="7"/>
      <c r="Q78" s="7"/>
      <c r="R78" s="7">
        <v>1718</v>
      </c>
      <c r="S78" s="7" t="s">
        <v>881</v>
      </c>
      <c r="T78" s="11" t="s">
        <v>882</v>
      </c>
    </row>
    <row r="79" spans="1:20" ht="69" customHeight="1" x14ac:dyDescent="0.3">
      <c r="A79" s="4" t="s">
        <v>883</v>
      </c>
      <c r="B79" s="4" t="s">
        <v>884</v>
      </c>
      <c r="C79" s="4" t="s">
        <v>107</v>
      </c>
      <c r="D79" s="4" t="s">
        <v>317</v>
      </c>
      <c r="E79" s="4" t="s">
        <v>775</v>
      </c>
      <c r="F79" s="4">
        <v>1</v>
      </c>
      <c r="G79" s="4" t="s">
        <v>36</v>
      </c>
      <c r="H79" s="8" t="s">
        <v>885</v>
      </c>
      <c r="I79" s="9" t="s">
        <v>886</v>
      </c>
      <c r="J79" s="4" t="s">
        <v>887</v>
      </c>
      <c r="K79" s="4" t="s">
        <v>888</v>
      </c>
      <c r="L79" s="26" t="s">
        <v>889</v>
      </c>
      <c r="M79" s="4"/>
      <c r="N79" s="7" t="s">
        <v>67</v>
      </c>
      <c r="O79" s="7">
        <v>-8.9930000000000003</v>
      </c>
      <c r="P79" s="7">
        <v>70</v>
      </c>
      <c r="Q79" s="7"/>
      <c r="R79" s="7">
        <v>71</v>
      </c>
      <c r="S79" s="7"/>
      <c r="T79" s="11" t="s">
        <v>890</v>
      </c>
    </row>
    <row r="80" spans="1:20" ht="69" customHeight="1" x14ac:dyDescent="0.3">
      <c r="A80" s="4" t="s">
        <v>891</v>
      </c>
      <c r="B80" s="4" t="s">
        <v>892</v>
      </c>
      <c r="C80" s="4" t="s">
        <v>107</v>
      </c>
      <c r="D80" s="4" t="s">
        <v>33</v>
      </c>
      <c r="E80" s="4" t="s">
        <v>34</v>
      </c>
      <c r="F80" s="4">
        <v>2</v>
      </c>
      <c r="G80" s="4" t="s">
        <v>142</v>
      </c>
      <c r="H80" s="8" t="s">
        <v>893</v>
      </c>
      <c r="I80" s="9" t="s">
        <v>894</v>
      </c>
      <c r="J80" s="4" t="s">
        <v>895</v>
      </c>
      <c r="K80" s="4" t="s">
        <v>896</v>
      </c>
      <c r="L80" s="23" t="s">
        <v>897</v>
      </c>
      <c r="M80" s="4"/>
      <c r="N80" s="7"/>
      <c r="O80" s="7"/>
      <c r="P80" s="7"/>
      <c r="Q80" s="7"/>
      <c r="R80" s="7"/>
      <c r="S80" s="7"/>
      <c r="T80" s="11" t="s">
        <v>898</v>
      </c>
    </row>
    <row r="81" spans="1:20" ht="69" customHeight="1" x14ac:dyDescent="0.3">
      <c r="A81" s="4" t="s">
        <v>899</v>
      </c>
      <c r="B81" s="4" t="s">
        <v>900</v>
      </c>
      <c r="C81" s="4" t="s">
        <v>107</v>
      </c>
      <c r="D81" s="4" t="s">
        <v>317</v>
      </c>
      <c r="E81" s="4" t="s">
        <v>775</v>
      </c>
      <c r="F81" s="4">
        <v>1</v>
      </c>
      <c r="G81" s="4" t="s">
        <v>36</v>
      </c>
      <c r="H81" s="8" t="s">
        <v>901</v>
      </c>
      <c r="I81" s="9" t="s">
        <v>902</v>
      </c>
      <c r="J81" s="4" t="s">
        <v>903</v>
      </c>
      <c r="K81" s="4" t="s">
        <v>904</v>
      </c>
      <c r="L81" s="11" t="s">
        <v>905</v>
      </c>
      <c r="M81" s="4"/>
      <c r="N81" s="7" t="s">
        <v>263</v>
      </c>
      <c r="O81" s="7">
        <v>4.03139</v>
      </c>
      <c r="P81" s="7">
        <v>75.893600000000006</v>
      </c>
      <c r="Q81" s="7"/>
      <c r="R81" s="7">
        <v>118</v>
      </c>
      <c r="S81" s="7"/>
      <c r="T81" s="25" t="s">
        <v>906</v>
      </c>
    </row>
    <row r="82" spans="1:20" ht="69" customHeight="1" x14ac:dyDescent="0.3">
      <c r="A82" s="4" t="s">
        <v>907</v>
      </c>
      <c r="B82" s="4" t="s">
        <v>908</v>
      </c>
      <c r="C82" s="4" t="s">
        <v>107</v>
      </c>
      <c r="D82" s="4" t="s">
        <v>33</v>
      </c>
      <c r="E82" s="4" t="s">
        <v>765</v>
      </c>
      <c r="F82" s="4">
        <v>1</v>
      </c>
      <c r="G82" s="4" t="s">
        <v>142</v>
      </c>
      <c r="H82" s="8" t="s">
        <v>909</v>
      </c>
      <c r="I82" s="9" t="s">
        <v>910</v>
      </c>
      <c r="J82" s="4" t="s">
        <v>911</v>
      </c>
      <c r="K82" s="4" t="s">
        <v>912</v>
      </c>
      <c r="L82" s="23" t="s">
        <v>913</v>
      </c>
      <c r="M82" s="4"/>
      <c r="N82" s="7" t="s">
        <v>126</v>
      </c>
      <c r="O82" s="7">
        <v>6.0078844</v>
      </c>
      <c r="P82" s="7"/>
      <c r="Q82" s="7"/>
      <c r="R82" s="28">
        <v>14168</v>
      </c>
      <c r="S82" s="7"/>
      <c r="T82" s="11" t="s">
        <v>914</v>
      </c>
    </row>
    <row r="83" spans="1:20" ht="69" customHeight="1" x14ac:dyDescent="0.3">
      <c r="A83" s="4" t="s">
        <v>915</v>
      </c>
      <c r="B83" s="4" t="s">
        <v>916</v>
      </c>
      <c r="C83" s="4" t="s">
        <v>310</v>
      </c>
      <c r="D83" s="4" t="s">
        <v>704</v>
      </c>
      <c r="E83" s="4" t="s">
        <v>765</v>
      </c>
      <c r="F83" s="4">
        <v>1</v>
      </c>
      <c r="G83" s="4" t="s">
        <v>108</v>
      </c>
      <c r="H83" s="8" t="s">
        <v>917</v>
      </c>
      <c r="I83" s="9" t="s">
        <v>918</v>
      </c>
      <c r="J83" s="4" t="s">
        <v>919</v>
      </c>
      <c r="K83" s="4" t="s">
        <v>920</v>
      </c>
      <c r="L83" s="26" t="s">
        <v>921</v>
      </c>
      <c r="M83" s="4"/>
      <c r="N83" s="7" t="s">
        <v>201</v>
      </c>
      <c r="O83" s="7">
        <v>44</v>
      </c>
      <c r="P83" s="7">
        <v>1</v>
      </c>
      <c r="Q83" s="7">
        <v>190</v>
      </c>
      <c r="R83" s="7"/>
      <c r="S83" s="7"/>
      <c r="T83" s="11" t="s">
        <v>922</v>
      </c>
    </row>
    <row r="84" spans="1:20" ht="69" customHeight="1" x14ac:dyDescent="0.3">
      <c r="A84" s="4" t="s">
        <v>923</v>
      </c>
      <c r="B84" s="4" t="s">
        <v>924</v>
      </c>
      <c r="C84" s="4" t="s">
        <v>141</v>
      </c>
      <c r="D84" s="4" t="s">
        <v>704</v>
      </c>
      <c r="E84" s="4" t="s">
        <v>34</v>
      </c>
      <c r="F84" s="4">
        <v>1</v>
      </c>
      <c r="G84" s="4" t="s">
        <v>36</v>
      </c>
      <c r="H84" s="8" t="s">
        <v>925</v>
      </c>
      <c r="I84" s="9" t="s">
        <v>926</v>
      </c>
      <c r="J84" s="4" t="s">
        <v>927</v>
      </c>
      <c r="K84" s="4" t="s">
        <v>928</v>
      </c>
      <c r="L84" s="26" t="s">
        <v>929</v>
      </c>
      <c r="M84" s="4"/>
      <c r="N84" s="7" t="s">
        <v>67</v>
      </c>
      <c r="O84" s="7">
        <v>4.71</v>
      </c>
      <c r="P84" s="7">
        <v>27</v>
      </c>
      <c r="Q84" s="7"/>
      <c r="R84" s="7">
        <v>28</v>
      </c>
      <c r="S84" s="7"/>
      <c r="T84" s="11" t="s">
        <v>930</v>
      </c>
    </row>
    <row r="85" spans="1:20" ht="69" customHeight="1" x14ac:dyDescent="0.3">
      <c r="A85" s="4" t="s">
        <v>931</v>
      </c>
      <c r="B85" s="4" t="s">
        <v>932</v>
      </c>
      <c r="C85" s="4" t="s">
        <v>32</v>
      </c>
      <c r="D85" s="4" t="s">
        <v>317</v>
      </c>
      <c r="E85" s="4" t="s">
        <v>775</v>
      </c>
      <c r="F85" s="4">
        <v>1</v>
      </c>
      <c r="G85" s="4" t="s">
        <v>36</v>
      </c>
      <c r="H85" s="8" t="s">
        <v>933</v>
      </c>
      <c r="I85" s="9" t="s">
        <v>934</v>
      </c>
      <c r="J85" s="4" t="s">
        <v>935</v>
      </c>
      <c r="K85" s="4" t="s">
        <v>936</v>
      </c>
      <c r="L85" s="23" t="s">
        <v>937</v>
      </c>
      <c r="M85" s="4"/>
      <c r="N85" s="7" t="s">
        <v>67</v>
      </c>
      <c r="O85" s="42" t="s">
        <v>938</v>
      </c>
      <c r="P85" s="27" t="s">
        <v>939</v>
      </c>
      <c r="Q85" s="7"/>
      <c r="R85" s="7">
        <v>270</v>
      </c>
      <c r="S85" s="7"/>
      <c r="T85" s="11" t="s">
        <v>940</v>
      </c>
    </row>
    <row r="86" spans="1:20" ht="69" customHeight="1" x14ac:dyDescent="0.3">
      <c r="A86" s="4" t="s">
        <v>941</v>
      </c>
      <c r="B86" s="4" t="s">
        <v>942</v>
      </c>
      <c r="C86" s="4" t="s">
        <v>107</v>
      </c>
      <c r="D86" s="4" t="s">
        <v>317</v>
      </c>
      <c r="E86" s="4" t="s">
        <v>775</v>
      </c>
      <c r="F86" s="4">
        <v>1</v>
      </c>
      <c r="G86" s="4" t="s">
        <v>108</v>
      </c>
      <c r="H86" s="8" t="s">
        <v>943</v>
      </c>
      <c r="I86" s="9" t="s">
        <v>944</v>
      </c>
      <c r="J86" s="4" t="s">
        <v>945</v>
      </c>
      <c r="K86" s="4" t="s">
        <v>946</v>
      </c>
      <c r="L86" s="11" t="s">
        <v>947</v>
      </c>
      <c r="M86" s="4"/>
      <c r="N86" s="7" t="s">
        <v>126</v>
      </c>
      <c r="O86" s="7">
        <v>2.3606699999999998</v>
      </c>
      <c r="P86" s="7"/>
      <c r="Q86" s="7"/>
      <c r="R86" s="7">
        <v>232</v>
      </c>
      <c r="S86" s="7" t="s">
        <v>948</v>
      </c>
      <c r="T86" s="11" t="s">
        <v>949</v>
      </c>
    </row>
    <row r="87" spans="1:20" ht="69" customHeight="1" x14ac:dyDescent="0.3">
      <c r="A87" s="4" t="s">
        <v>950</v>
      </c>
      <c r="B87" s="4" t="s">
        <v>1077</v>
      </c>
      <c r="C87" s="4" t="s">
        <v>107</v>
      </c>
      <c r="D87" s="4" t="s">
        <v>672</v>
      </c>
      <c r="E87" s="4" t="s">
        <v>34</v>
      </c>
      <c r="F87" s="4">
        <v>1</v>
      </c>
      <c r="G87" s="4" t="s">
        <v>108</v>
      </c>
      <c r="H87" s="8" t="s">
        <v>951</v>
      </c>
      <c r="I87" s="9" t="s">
        <v>952</v>
      </c>
      <c r="J87" s="4" t="s">
        <v>953</v>
      </c>
      <c r="K87" s="4" t="s">
        <v>954</v>
      </c>
      <c r="L87" s="11" t="s">
        <v>955</v>
      </c>
      <c r="M87" s="4"/>
      <c r="N87" s="7" t="s">
        <v>126</v>
      </c>
      <c r="O87" s="7">
        <v>-4.1190062000000003</v>
      </c>
      <c r="P87" s="7"/>
      <c r="Q87" s="7"/>
      <c r="R87" s="7">
        <v>328</v>
      </c>
      <c r="S87" s="7" t="s">
        <v>956</v>
      </c>
      <c r="T87" s="11" t="s">
        <v>957</v>
      </c>
    </row>
    <row r="88" spans="1:20" ht="69" customHeight="1" x14ac:dyDescent="0.3">
      <c r="A88" s="4" t="s">
        <v>958</v>
      </c>
      <c r="B88" s="4" t="s">
        <v>959</v>
      </c>
      <c r="C88" s="4" t="s">
        <v>141</v>
      </c>
      <c r="D88" s="4" t="s">
        <v>33</v>
      </c>
      <c r="E88" s="4" t="s">
        <v>34</v>
      </c>
      <c r="F88" s="4">
        <v>1</v>
      </c>
      <c r="G88" s="4" t="s">
        <v>108</v>
      </c>
      <c r="H88" s="8" t="s">
        <v>960</v>
      </c>
      <c r="I88" s="9" t="s">
        <v>961</v>
      </c>
      <c r="J88" s="4" t="s">
        <v>962</v>
      </c>
      <c r="K88" s="4" t="s">
        <v>963</v>
      </c>
      <c r="L88" s="23" t="s">
        <v>964</v>
      </c>
      <c r="M88" s="4"/>
      <c r="N88" s="7" t="s">
        <v>201</v>
      </c>
      <c r="O88" s="7">
        <v>6.2</v>
      </c>
      <c r="P88" s="7">
        <v>1</v>
      </c>
      <c r="Q88" s="7">
        <v>48</v>
      </c>
      <c r="R88" s="7" t="s">
        <v>965</v>
      </c>
      <c r="S88" s="7"/>
      <c r="T88" s="11" t="s">
        <v>966</v>
      </c>
    </row>
    <row r="89" spans="1:20" ht="69" customHeight="1" x14ac:dyDescent="0.3">
      <c r="A89" s="4" t="s">
        <v>967</v>
      </c>
      <c r="B89" s="4" t="s">
        <v>968</v>
      </c>
      <c r="C89" s="4" t="s">
        <v>32</v>
      </c>
      <c r="D89" s="4" t="s">
        <v>33</v>
      </c>
      <c r="E89" s="4" t="s">
        <v>969</v>
      </c>
      <c r="F89" s="4">
        <v>1</v>
      </c>
      <c r="G89" s="4" t="s">
        <v>36</v>
      </c>
      <c r="H89" s="8" t="s">
        <v>970</v>
      </c>
      <c r="I89" s="9" t="s">
        <v>971</v>
      </c>
      <c r="J89" s="4" t="s">
        <v>972</v>
      </c>
      <c r="K89" s="4" t="s">
        <v>973</v>
      </c>
      <c r="L89" s="11" t="s">
        <v>974</v>
      </c>
      <c r="M89" s="4"/>
      <c r="N89" s="7" t="s">
        <v>126</v>
      </c>
      <c r="O89" s="7">
        <v>2.536</v>
      </c>
      <c r="P89" s="7"/>
      <c r="Q89" s="7"/>
      <c r="R89" s="7">
        <v>124</v>
      </c>
      <c r="S89" s="7" t="s">
        <v>975</v>
      </c>
      <c r="T89" s="11" t="s">
        <v>976</v>
      </c>
    </row>
    <row r="90" spans="1:20" ht="69" customHeight="1" x14ac:dyDescent="0.3">
      <c r="A90" s="4" t="s">
        <v>977</v>
      </c>
      <c r="B90" s="4" t="s">
        <v>978</v>
      </c>
      <c r="C90" s="4" t="s">
        <v>107</v>
      </c>
      <c r="D90" s="4" t="s">
        <v>704</v>
      </c>
      <c r="E90" s="4" t="s">
        <v>765</v>
      </c>
      <c r="F90" s="4">
        <v>1</v>
      </c>
      <c r="G90" s="4" t="s">
        <v>438</v>
      </c>
      <c r="H90" s="8" t="s">
        <v>979</v>
      </c>
      <c r="I90" s="9" t="s">
        <v>980</v>
      </c>
      <c r="J90" s="4" t="s">
        <v>981</v>
      </c>
      <c r="K90" s="4" t="s">
        <v>982</v>
      </c>
      <c r="L90" s="23" t="s">
        <v>983</v>
      </c>
      <c r="M90" s="4"/>
      <c r="N90" s="7"/>
      <c r="O90" s="7"/>
      <c r="P90" s="7"/>
      <c r="Q90" s="7"/>
      <c r="R90" s="7"/>
      <c r="S90" s="7"/>
      <c r="T90" s="11" t="s">
        <v>984</v>
      </c>
    </row>
    <row r="91" spans="1:20" ht="69" customHeight="1" x14ac:dyDescent="0.3">
      <c r="A91" s="4" t="s">
        <v>985</v>
      </c>
      <c r="B91" s="4" t="s">
        <v>1078</v>
      </c>
      <c r="C91" s="4" t="s">
        <v>32</v>
      </c>
      <c r="D91" s="4" t="s">
        <v>33</v>
      </c>
      <c r="E91" s="4" t="s">
        <v>34</v>
      </c>
      <c r="F91" s="4">
        <v>1</v>
      </c>
      <c r="G91" s="4" t="s">
        <v>438</v>
      </c>
      <c r="H91" s="8" t="s">
        <v>986</v>
      </c>
      <c r="I91" s="9" t="s">
        <v>987</v>
      </c>
      <c r="J91" s="4" t="s">
        <v>988</v>
      </c>
      <c r="K91" s="4" t="s">
        <v>989</v>
      </c>
      <c r="L91" s="23" t="s">
        <v>990</v>
      </c>
      <c r="M91" s="4"/>
      <c r="N91" s="7" t="s">
        <v>67</v>
      </c>
      <c r="O91" s="7">
        <v>2.5398999999999998</v>
      </c>
      <c r="P91" s="7">
        <v>252</v>
      </c>
      <c r="Q91" s="7"/>
      <c r="R91" s="7">
        <v>2783</v>
      </c>
      <c r="S91" s="7"/>
      <c r="T91" s="11" t="s">
        <v>991</v>
      </c>
    </row>
    <row r="92" spans="1:20" ht="69" customHeight="1" x14ac:dyDescent="0.3">
      <c r="A92" s="4" t="s">
        <v>992</v>
      </c>
      <c r="B92" s="4" t="s">
        <v>993</v>
      </c>
      <c r="C92" s="4" t="s">
        <v>107</v>
      </c>
      <c r="D92" s="4" t="s">
        <v>672</v>
      </c>
      <c r="E92" s="4" t="s">
        <v>630</v>
      </c>
      <c r="F92" s="4">
        <v>1</v>
      </c>
      <c r="G92" s="4" t="s">
        <v>142</v>
      </c>
      <c r="H92" s="8" t="s">
        <v>994</v>
      </c>
      <c r="I92" s="9" t="s">
        <v>995</v>
      </c>
      <c r="J92" s="4" t="s">
        <v>996</v>
      </c>
      <c r="K92" s="4" t="s">
        <v>997</v>
      </c>
      <c r="L92" s="11" t="s">
        <v>998</v>
      </c>
      <c r="M92" s="4"/>
      <c r="N92" s="7" t="s">
        <v>67</v>
      </c>
      <c r="O92" s="13">
        <v>9.2945395000000008</v>
      </c>
      <c r="P92" s="13">
        <v>1493</v>
      </c>
      <c r="Q92" s="7"/>
      <c r="R92" s="41">
        <v>38346</v>
      </c>
      <c r="S92" s="7"/>
      <c r="T92" s="11" t="s">
        <v>999</v>
      </c>
    </row>
    <row r="93" spans="1:20" ht="69" customHeight="1" x14ac:dyDescent="0.3">
      <c r="A93" s="4" t="s">
        <v>1000</v>
      </c>
      <c r="B93" s="4" t="s">
        <v>1001</v>
      </c>
      <c r="C93" s="4" t="s">
        <v>32</v>
      </c>
      <c r="D93" s="4" t="s">
        <v>672</v>
      </c>
      <c r="E93" s="4" t="s">
        <v>630</v>
      </c>
      <c r="F93" s="4">
        <v>1</v>
      </c>
      <c r="G93" s="4" t="s">
        <v>142</v>
      </c>
      <c r="H93" s="33" t="s">
        <v>1002</v>
      </c>
      <c r="I93" s="9" t="s">
        <v>1003</v>
      </c>
      <c r="J93" s="7" t="s">
        <v>1004</v>
      </c>
      <c r="K93" s="7" t="s">
        <v>1005</v>
      </c>
      <c r="L93" s="43" t="s">
        <v>1006</v>
      </c>
      <c r="M93" s="7"/>
      <c r="N93" s="7" t="s">
        <v>67</v>
      </c>
      <c r="O93" s="7">
        <v>3.7318440000000002</v>
      </c>
      <c r="P93" s="7">
        <v>286</v>
      </c>
      <c r="Q93" s="7"/>
      <c r="R93" s="7" t="s">
        <v>1007</v>
      </c>
      <c r="S93" s="7"/>
      <c r="T93" s="43" t="s">
        <v>1008</v>
      </c>
    </row>
    <row r="94" spans="1:20" ht="69" customHeight="1" x14ac:dyDescent="0.3">
      <c r="A94" s="7" t="s">
        <v>1009</v>
      </c>
      <c r="B94" s="7" t="s">
        <v>1010</v>
      </c>
      <c r="C94" s="7" t="s">
        <v>576</v>
      </c>
      <c r="D94" s="4" t="s">
        <v>672</v>
      </c>
      <c r="E94" s="4" t="s">
        <v>630</v>
      </c>
      <c r="F94" s="7">
        <v>3</v>
      </c>
      <c r="G94" s="7" t="s">
        <v>108</v>
      </c>
      <c r="H94" s="33" t="s">
        <v>1011</v>
      </c>
      <c r="I94" s="9" t="s">
        <v>1012</v>
      </c>
      <c r="J94" s="7" t="s">
        <v>1013</v>
      </c>
      <c r="K94" s="7" t="s">
        <v>1014</v>
      </c>
      <c r="L94" s="25" t="s">
        <v>1015</v>
      </c>
      <c r="M94" s="7"/>
      <c r="N94" s="7" t="s">
        <v>67</v>
      </c>
      <c r="O94" s="7">
        <v>-3.5201699999999998</v>
      </c>
      <c r="P94" s="7">
        <v>10071</v>
      </c>
      <c r="Q94" s="7"/>
      <c r="R94" s="7">
        <v>4105</v>
      </c>
      <c r="S94" s="7"/>
      <c r="T94" s="43" t="s">
        <v>1016</v>
      </c>
    </row>
    <row r="95" spans="1:20" ht="69" customHeight="1" x14ac:dyDescent="0.3">
      <c r="A95" s="7" t="s">
        <v>1017</v>
      </c>
      <c r="B95" s="7" t="s">
        <v>1018</v>
      </c>
      <c r="C95" s="7" t="s">
        <v>576</v>
      </c>
      <c r="D95" s="4" t="s">
        <v>672</v>
      </c>
      <c r="E95" s="4" t="s">
        <v>765</v>
      </c>
      <c r="F95" s="7">
        <v>3</v>
      </c>
      <c r="G95" s="7" t="s">
        <v>142</v>
      </c>
      <c r="H95" s="33" t="s">
        <v>1019</v>
      </c>
      <c r="I95" s="9" t="s">
        <v>1020</v>
      </c>
      <c r="J95" s="7" t="s">
        <v>1021</v>
      </c>
      <c r="K95" s="7" t="s">
        <v>1022</v>
      </c>
      <c r="L95" s="23" t="s">
        <v>1023</v>
      </c>
      <c r="M95" s="7"/>
      <c r="N95" s="4" t="s">
        <v>67</v>
      </c>
      <c r="O95" s="44">
        <v>2.16</v>
      </c>
      <c r="P95" s="44">
        <v>536.73179000000005</v>
      </c>
      <c r="Q95" s="7"/>
      <c r="R95" s="44">
        <v>580</v>
      </c>
      <c r="S95" s="7"/>
      <c r="T95" s="43" t="s">
        <v>1024</v>
      </c>
    </row>
    <row r="96" spans="1:20" ht="69" customHeight="1" x14ac:dyDescent="0.3">
      <c r="A96" s="7" t="s">
        <v>1025</v>
      </c>
      <c r="B96" s="7" t="s">
        <v>1026</v>
      </c>
      <c r="C96" s="7" t="s">
        <v>576</v>
      </c>
      <c r="D96" s="4" t="s">
        <v>672</v>
      </c>
      <c r="E96" s="4" t="s">
        <v>630</v>
      </c>
      <c r="F96" s="7">
        <v>3</v>
      </c>
      <c r="G96" s="7" t="s">
        <v>142</v>
      </c>
      <c r="H96" s="33" t="s">
        <v>1027</v>
      </c>
      <c r="I96" s="9" t="s">
        <v>1028</v>
      </c>
      <c r="J96" s="7" t="s">
        <v>1029</v>
      </c>
      <c r="K96" s="7" t="s">
        <v>1030</v>
      </c>
      <c r="L96" s="26" t="s">
        <v>1031</v>
      </c>
      <c r="M96" s="4"/>
      <c r="N96" s="7"/>
      <c r="O96" s="7"/>
      <c r="P96" s="7"/>
      <c r="Q96" s="7"/>
      <c r="R96" s="7"/>
      <c r="S96" s="7"/>
      <c r="T96" s="43" t="s">
        <v>1032</v>
      </c>
    </row>
    <row r="97" spans="1:20" ht="69" customHeight="1" x14ac:dyDescent="0.3">
      <c r="A97" s="7" t="s">
        <v>1033</v>
      </c>
      <c r="B97" s="7" t="s">
        <v>1034</v>
      </c>
      <c r="C97" s="7" t="s">
        <v>107</v>
      </c>
      <c r="D97" s="4" t="s">
        <v>672</v>
      </c>
      <c r="E97" s="4" t="s">
        <v>765</v>
      </c>
      <c r="F97" s="7">
        <v>3</v>
      </c>
      <c r="G97" s="7" t="s">
        <v>142</v>
      </c>
      <c r="H97" s="33" t="s">
        <v>1035</v>
      </c>
      <c r="I97" s="9" t="s">
        <v>1036</v>
      </c>
      <c r="J97" s="7" t="s">
        <v>1037</v>
      </c>
      <c r="K97" s="7" t="s">
        <v>1038</v>
      </c>
      <c r="L97" s="43" t="s">
        <v>1039</v>
      </c>
      <c r="M97" s="7"/>
      <c r="N97" s="4" t="s">
        <v>67</v>
      </c>
      <c r="O97" s="44">
        <v>50.110030000000002</v>
      </c>
      <c r="P97" s="44" t="s">
        <v>1040</v>
      </c>
      <c r="Q97" s="7"/>
      <c r="R97" s="44" t="s">
        <v>1041</v>
      </c>
      <c r="S97" s="7"/>
      <c r="T97" s="43" t="s">
        <v>1042</v>
      </c>
    </row>
    <row r="98" spans="1:20" ht="69" customHeight="1" x14ac:dyDescent="0.3">
      <c r="A98" s="7" t="s">
        <v>1043</v>
      </c>
      <c r="B98" s="7" t="s">
        <v>1044</v>
      </c>
      <c r="C98" s="7" t="s">
        <v>576</v>
      </c>
      <c r="D98" s="4" t="s">
        <v>672</v>
      </c>
      <c r="E98" s="4" t="s">
        <v>630</v>
      </c>
      <c r="F98" s="7">
        <v>3</v>
      </c>
      <c r="G98" s="7" t="s">
        <v>36</v>
      </c>
      <c r="H98" s="33" t="s">
        <v>1045</v>
      </c>
      <c r="I98" s="9" t="s">
        <v>1046</v>
      </c>
      <c r="J98" s="7" t="s">
        <v>1047</v>
      </c>
      <c r="K98" s="7" t="s">
        <v>1048</v>
      </c>
      <c r="L98" s="25" t="s">
        <v>1049</v>
      </c>
      <c r="M98" s="7"/>
      <c r="N98" s="7" t="s">
        <v>67</v>
      </c>
      <c r="O98" s="7">
        <v>2.4350000000000001</v>
      </c>
      <c r="P98" s="7">
        <v>31.756197400000001</v>
      </c>
      <c r="Q98" s="7"/>
      <c r="R98" s="7">
        <v>10477</v>
      </c>
      <c r="S98" s="7"/>
      <c r="T98" s="43" t="s">
        <v>1050</v>
      </c>
    </row>
    <row r="99" spans="1:20" ht="69" customHeight="1" x14ac:dyDescent="0.3">
      <c r="A99" s="7" t="s">
        <v>1051</v>
      </c>
      <c r="B99" s="7" t="s">
        <v>1052</v>
      </c>
      <c r="C99" s="7" t="s">
        <v>141</v>
      </c>
      <c r="D99" s="4" t="s">
        <v>672</v>
      </c>
      <c r="E99" s="4" t="s">
        <v>630</v>
      </c>
      <c r="F99" s="7">
        <v>1</v>
      </c>
      <c r="G99" s="7" t="s">
        <v>142</v>
      </c>
      <c r="H99" s="33" t="s">
        <v>1053</v>
      </c>
      <c r="I99" s="9" t="s">
        <v>1054</v>
      </c>
      <c r="J99" s="7" t="s">
        <v>1055</v>
      </c>
      <c r="K99" s="7" t="s">
        <v>1056</v>
      </c>
      <c r="L99" s="26" t="s">
        <v>1057</v>
      </c>
      <c r="M99" s="7"/>
      <c r="N99" s="7" t="s">
        <v>67</v>
      </c>
      <c r="O99" s="7">
        <v>2</v>
      </c>
      <c r="P99" s="7">
        <v>1372</v>
      </c>
      <c r="Q99" s="7"/>
      <c r="R99" s="7"/>
      <c r="S99" s="7"/>
      <c r="T99" s="43" t="s">
        <v>1058</v>
      </c>
    </row>
    <row r="100" spans="1:20" ht="69" customHeight="1" x14ac:dyDescent="0.3">
      <c r="A100" s="7" t="s">
        <v>1059</v>
      </c>
      <c r="B100" s="7" t="s">
        <v>1060</v>
      </c>
      <c r="C100" s="7" t="s">
        <v>1061</v>
      </c>
      <c r="D100" s="4" t="s">
        <v>672</v>
      </c>
      <c r="E100" s="4" t="s">
        <v>765</v>
      </c>
      <c r="F100" s="7">
        <v>3</v>
      </c>
      <c r="G100" s="7" t="s">
        <v>36</v>
      </c>
      <c r="H100" s="33" t="s">
        <v>1062</v>
      </c>
      <c r="I100" s="9" t="s">
        <v>1063</v>
      </c>
      <c r="J100" s="7" t="s">
        <v>1064</v>
      </c>
      <c r="K100" s="7" t="s">
        <v>1065</v>
      </c>
      <c r="L100" s="23" t="s">
        <v>1066</v>
      </c>
      <c r="M100" s="7"/>
      <c r="N100" s="7" t="s">
        <v>126</v>
      </c>
      <c r="O100" s="7">
        <v>-4.878571</v>
      </c>
      <c r="P100" s="7"/>
      <c r="Q100" s="7"/>
      <c r="R100" s="4" t="s">
        <v>1067</v>
      </c>
      <c r="S100" s="7"/>
      <c r="T100" s="23" t="s">
        <v>1068</v>
      </c>
    </row>
    <row r="101" spans="1:20" ht="69" customHeight="1" x14ac:dyDescent="0.3">
      <c r="A101" s="7" t="s">
        <v>1069</v>
      </c>
      <c r="B101" s="7" t="s">
        <v>1070</v>
      </c>
      <c r="C101" s="7" t="s">
        <v>141</v>
      </c>
      <c r="D101" s="4" t="s">
        <v>704</v>
      </c>
      <c r="E101" s="4" t="s">
        <v>34</v>
      </c>
      <c r="F101" s="7">
        <v>3</v>
      </c>
      <c r="G101" s="7" t="s">
        <v>142</v>
      </c>
      <c r="H101" s="45" t="s">
        <v>1071</v>
      </c>
      <c r="I101" s="9" t="s">
        <v>1072</v>
      </c>
      <c r="J101" s="7" t="s">
        <v>1073</v>
      </c>
      <c r="K101" s="7" t="s">
        <v>1074</v>
      </c>
      <c r="L101" s="23" t="s">
        <v>1075</v>
      </c>
      <c r="M101" s="7"/>
      <c r="N101" s="7" t="s">
        <v>67</v>
      </c>
      <c r="O101" s="7">
        <v>5.91</v>
      </c>
      <c r="P101" s="7">
        <v>27</v>
      </c>
      <c r="Q101" s="7"/>
      <c r="R101" s="7">
        <v>29</v>
      </c>
      <c r="S101" s="7"/>
      <c r="T101" s="23" t="s">
        <v>1076</v>
      </c>
    </row>
    <row r="102" spans="1:20" ht="69" customHeight="1" x14ac:dyDescent="0.25">
      <c r="H102" s="46"/>
      <c r="I102" s="46"/>
    </row>
    <row r="103" spans="1:20" ht="69" customHeight="1" x14ac:dyDescent="0.25">
      <c r="H103" s="46"/>
      <c r="I103" s="46"/>
    </row>
    <row r="104" spans="1:20" ht="69" customHeight="1" x14ac:dyDescent="0.25">
      <c r="H104" s="46"/>
      <c r="I104" s="46"/>
    </row>
    <row r="105" spans="1:20" ht="69" customHeight="1" x14ac:dyDescent="0.25">
      <c r="H105" s="46"/>
      <c r="I105" s="46"/>
    </row>
    <row r="106" spans="1:20" ht="69" customHeight="1" x14ac:dyDescent="0.25">
      <c r="H106" s="46"/>
      <c r="I106" s="46"/>
    </row>
    <row r="107" spans="1:20" ht="69" customHeight="1" x14ac:dyDescent="0.25">
      <c r="H107" s="46"/>
      <c r="I107" s="46"/>
    </row>
    <row r="108" spans="1:20" ht="69" customHeight="1" x14ac:dyDescent="0.25">
      <c r="H108" s="46"/>
      <c r="I108" s="46"/>
    </row>
    <row r="109" spans="1:20" ht="69" customHeight="1" x14ac:dyDescent="0.25">
      <c r="H109" s="46"/>
      <c r="I109" s="46"/>
    </row>
    <row r="110" spans="1:20" ht="69" customHeight="1" x14ac:dyDescent="0.25">
      <c r="H110" s="46"/>
      <c r="I110" s="46"/>
    </row>
    <row r="111" spans="1:20" ht="69" customHeight="1" x14ac:dyDescent="0.25">
      <c r="H111" s="46"/>
      <c r="I111" s="46"/>
    </row>
    <row r="112" spans="1:20" ht="69" customHeight="1" x14ac:dyDescent="0.25">
      <c r="H112" s="46"/>
      <c r="I112" s="46"/>
    </row>
    <row r="113" spans="8:9" ht="69" customHeight="1" x14ac:dyDescent="0.25">
      <c r="H113" s="46"/>
      <c r="I113" s="46"/>
    </row>
    <row r="114" spans="8:9" ht="69" customHeight="1" x14ac:dyDescent="0.25">
      <c r="H114" s="46"/>
      <c r="I114" s="46"/>
    </row>
    <row r="115" spans="8:9" ht="69" customHeight="1" x14ac:dyDescent="0.25">
      <c r="H115" s="46"/>
      <c r="I115" s="46"/>
    </row>
    <row r="116" spans="8:9" ht="69" customHeight="1" x14ac:dyDescent="0.25">
      <c r="H116" s="46"/>
      <c r="I116" s="46"/>
    </row>
    <row r="117" spans="8:9" ht="69" customHeight="1" x14ac:dyDescent="0.25">
      <c r="H117" s="46"/>
      <c r="I117" s="46"/>
    </row>
    <row r="118" spans="8:9" ht="69" customHeight="1" x14ac:dyDescent="0.25">
      <c r="H118" s="46"/>
      <c r="I118" s="46"/>
    </row>
    <row r="119" spans="8:9" ht="69" customHeight="1" x14ac:dyDescent="0.25">
      <c r="H119" s="46"/>
      <c r="I119" s="46"/>
    </row>
    <row r="120" spans="8:9" ht="69" customHeight="1" x14ac:dyDescent="0.25">
      <c r="H120" s="46"/>
      <c r="I120" s="46"/>
    </row>
    <row r="121" spans="8:9" ht="69" customHeight="1" x14ac:dyDescent="0.25">
      <c r="H121" s="46"/>
      <c r="I121" s="46"/>
    </row>
    <row r="122" spans="8:9" ht="69" customHeight="1" x14ac:dyDescent="0.25">
      <c r="H122" s="46"/>
      <c r="I122" s="46"/>
    </row>
    <row r="123" spans="8:9" ht="69" customHeight="1" x14ac:dyDescent="0.25">
      <c r="H123" s="46"/>
      <c r="I123" s="46"/>
    </row>
    <row r="124" spans="8:9" ht="69" customHeight="1" x14ac:dyDescent="0.25">
      <c r="H124" s="46"/>
      <c r="I124" s="46"/>
    </row>
    <row r="125" spans="8:9" ht="69" customHeight="1" x14ac:dyDescent="0.25">
      <c r="H125" s="46"/>
      <c r="I125" s="46"/>
    </row>
    <row r="126" spans="8:9" ht="69" customHeight="1" x14ac:dyDescent="0.25">
      <c r="H126" s="46"/>
      <c r="I126" s="46"/>
    </row>
    <row r="127" spans="8:9" ht="69" customHeight="1" x14ac:dyDescent="0.25">
      <c r="H127" s="46"/>
      <c r="I127" s="46"/>
    </row>
    <row r="128" spans="8:9" ht="69" customHeight="1" x14ac:dyDescent="0.25">
      <c r="H128" s="46"/>
      <c r="I128" s="46"/>
    </row>
    <row r="129" spans="8:9" ht="69" customHeight="1" x14ac:dyDescent="0.25">
      <c r="H129" s="46"/>
      <c r="I129" s="46"/>
    </row>
    <row r="130" spans="8:9" ht="69" customHeight="1" x14ac:dyDescent="0.25">
      <c r="H130" s="46"/>
      <c r="I130" s="46"/>
    </row>
    <row r="131" spans="8:9" ht="69" customHeight="1" x14ac:dyDescent="0.25">
      <c r="H131" s="46"/>
      <c r="I131" s="46"/>
    </row>
    <row r="132" spans="8:9" ht="69" customHeight="1" x14ac:dyDescent="0.25">
      <c r="H132" s="46"/>
      <c r="I132" s="46"/>
    </row>
    <row r="133" spans="8:9" ht="69" customHeight="1" x14ac:dyDescent="0.25">
      <c r="H133" s="46"/>
      <c r="I133" s="46"/>
    </row>
    <row r="134" spans="8:9" ht="69" customHeight="1" x14ac:dyDescent="0.25">
      <c r="H134" s="46"/>
      <c r="I134" s="46"/>
    </row>
    <row r="135" spans="8:9" ht="69" customHeight="1" x14ac:dyDescent="0.25">
      <c r="H135" s="46"/>
      <c r="I135" s="46"/>
    </row>
    <row r="136" spans="8:9" ht="69" customHeight="1" x14ac:dyDescent="0.25">
      <c r="H136" s="46"/>
      <c r="I136" s="46"/>
    </row>
    <row r="137" spans="8:9" ht="69" customHeight="1" x14ac:dyDescent="0.25">
      <c r="H137" s="46"/>
      <c r="I137" s="46"/>
    </row>
    <row r="138" spans="8:9" ht="69" customHeight="1" x14ac:dyDescent="0.25">
      <c r="H138" s="46"/>
      <c r="I138" s="46"/>
    </row>
    <row r="139" spans="8:9" ht="69" customHeight="1" x14ac:dyDescent="0.25">
      <c r="H139" s="46"/>
      <c r="I139" s="46"/>
    </row>
    <row r="140" spans="8:9" ht="69" customHeight="1" x14ac:dyDescent="0.25">
      <c r="H140" s="46"/>
      <c r="I140" s="46"/>
    </row>
    <row r="141" spans="8:9" ht="69" customHeight="1" x14ac:dyDescent="0.25">
      <c r="H141" s="46"/>
      <c r="I141" s="46"/>
    </row>
    <row r="142" spans="8:9" ht="69" customHeight="1" x14ac:dyDescent="0.25">
      <c r="H142" s="46"/>
      <c r="I142" s="46"/>
    </row>
    <row r="143" spans="8:9" ht="69" customHeight="1" x14ac:dyDescent="0.25">
      <c r="H143" s="46"/>
      <c r="I143" s="46"/>
    </row>
    <row r="144" spans="8:9" ht="69" customHeight="1" x14ac:dyDescent="0.25">
      <c r="H144" s="46"/>
      <c r="I144" s="46"/>
    </row>
    <row r="145" spans="8:9" ht="69" customHeight="1" x14ac:dyDescent="0.25">
      <c r="H145" s="46"/>
      <c r="I145" s="46"/>
    </row>
    <row r="146" spans="8:9" ht="69" customHeight="1" x14ac:dyDescent="0.25">
      <c r="H146" s="46"/>
      <c r="I146" s="46"/>
    </row>
    <row r="147" spans="8:9" ht="69" customHeight="1" x14ac:dyDescent="0.25">
      <c r="H147" s="46"/>
      <c r="I147" s="46"/>
    </row>
    <row r="148" spans="8:9" ht="69" customHeight="1" x14ac:dyDescent="0.25">
      <c r="H148" s="46"/>
      <c r="I148" s="46"/>
    </row>
    <row r="149" spans="8:9" ht="69" customHeight="1" x14ac:dyDescent="0.25">
      <c r="H149" s="46"/>
      <c r="I149" s="46"/>
    </row>
    <row r="150" spans="8:9" ht="69" customHeight="1" x14ac:dyDescent="0.25">
      <c r="H150" s="46"/>
      <c r="I150" s="46"/>
    </row>
    <row r="151" spans="8:9" ht="69" customHeight="1" x14ac:dyDescent="0.25">
      <c r="H151" s="46"/>
      <c r="I151" s="46"/>
    </row>
    <row r="152" spans="8:9" ht="69" customHeight="1" x14ac:dyDescent="0.25">
      <c r="H152" s="46"/>
      <c r="I152" s="46"/>
    </row>
    <row r="153" spans="8:9" ht="69" customHeight="1" x14ac:dyDescent="0.25">
      <c r="H153" s="46"/>
      <c r="I153" s="46"/>
    </row>
    <row r="154" spans="8:9" ht="69" customHeight="1" x14ac:dyDescent="0.25">
      <c r="H154" s="46"/>
      <c r="I154" s="46"/>
    </row>
    <row r="155" spans="8:9" ht="69" customHeight="1" x14ac:dyDescent="0.25">
      <c r="H155" s="46"/>
      <c r="I155" s="46"/>
    </row>
    <row r="156" spans="8:9" ht="69" customHeight="1" x14ac:dyDescent="0.25">
      <c r="H156" s="46"/>
      <c r="I156" s="46"/>
    </row>
    <row r="157" spans="8:9" ht="69" customHeight="1" x14ac:dyDescent="0.25">
      <c r="H157" s="46"/>
      <c r="I157" s="46"/>
    </row>
    <row r="158" spans="8:9" ht="69" customHeight="1" x14ac:dyDescent="0.25">
      <c r="H158" s="46"/>
      <c r="I158" s="46"/>
    </row>
    <row r="159" spans="8:9" ht="69" customHeight="1" x14ac:dyDescent="0.25">
      <c r="H159" s="46"/>
      <c r="I159" s="46"/>
    </row>
    <row r="160" spans="8:9" ht="69" customHeight="1" x14ac:dyDescent="0.25">
      <c r="H160" s="46"/>
      <c r="I160" s="46"/>
    </row>
    <row r="161" spans="8:9" ht="69" customHeight="1" x14ac:dyDescent="0.25">
      <c r="H161" s="46"/>
      <c r="I161" s="46"/>
    </row>
    <row r="162" spans="8:9" ht="69" customHeight="1" x14ac:dyDescent="0.25">
      <c r="H162" s="46"/>
      <c r="I162" s="46"/>
    </row>
    <row r="163" spans="8:9" ht="69" customHeight="1" x14ac:dyDescent="0.25">
      <c r="H163" s="46"/>
      <c r="I163" s="46"/>
    </row>
    <row r="164" spans="8:9" ht="69" customHeight="1" x14ac:dyDescent="0.25">
      <c r="H164" s="46"/>
      <c r="I164" s="46"/>
    </row>
    <row r="165" spans="8:9" ht="69" customHeight="1" x14ac:dyDescent="0.25">
      <c r="H165" s="46"/>
      <c r="I165" s="46"/>
    </row>
    <row r="166" spans="8:9" ht="69" customHeight="1" x14ac:dyDescent="0.25">
      <c r="H166" s="46"/>
      <c r="I166" s="46"/>
    </row>
    <row r="167" spans="8:9" ht="69" customHeight="1" x14ac:dyDescent="0.25">
      <c r="H167" s="46"/>
      <c r="I167" s="46"/>
    </row>
    <row r="168" spans="8:9" ht="69" customHeight="1" x14ac:dyDescent="0.25">
      <c r="H168" s="46"/>
      <c r="I168" s="46"/>
    </row>
    <row r="169" spans="8:9" ht="69" customHeight="1" x14ac:dyDescent="0.25">
      <c r="H169" s="46"/>
      <c r="I169" s="46"/>
    </row>
    <row r="170" spans="8:9" ht="69" customHeight="1" x14ac:dyDescent="0.25">
      <c r="H170" s="46"/>
      <c r="I170" s="46"/>
    </row>
    <row r="171" spans="8:9" ht="69" customHeight="1" x14ac:dyDescent="0.25">
      <c r="H171" s="46"/>
      <c r="I171" s="46"/>
    </row>
    <row r="172" spans="8:9" ht="69" customHeight="1" x14ac:dyDescent="0.25">
      <c r="H172" s="46"/>
      <c r="I172" s="46"/>
    </row>
    <row r="173" spans="8:9" ht="69" customHeight="1" x14ac:dyDescent="0.25">
      <c r="H173" s="46"/>
      <c r="I173" s="46"/>
    </row>
    <row r="174" spans="8:9" ht="69" customHeight="1" x14ac:dyDescent="0.25">
      <c r="H174" s="46"/>
      <c r="I174" s="46"/>
    </row>
    <row r="175" spans="8:9" ht="69" customHeight="1" x14ac:dyDescent="0.25">
      <c r="H175" s="46"/>
      <c r="I175" s="46"/>
    </row>
    <row r="176" spans="8:9" ht="69" customHeight="1" x14ac:dyDescent="0.25">
      <c r="H176" s="46"/>
      <c r="I176" s="46"/>
    </row>
    <row r="177" spans="8:9" ht="69" customHeight="1" x14ac:dyDescent="0.25">
      <c r="H177" s="46"/>
      <c r="I177" s="46"/>
    </row>
    <row r="178" spans="8:9" ht="69" customHeight="1" x14ac:dyDescent="0.25">
      <c r="H178" s="46"/>
      <c r="I178" s="46"/>
    </row>
    <row r="179" spans="8:9" ht="69" customHeight="1" x14ac:dyDescent="0.25">
      <c r="H179" s="46"/>
      <c r="I179" s="46"/>
    </row>
    <row r="180" spans="8:9" ht="69" customHeight="1" x14ac:dyDescent="0.25">
      <c r="H180" s="46"/>
      <c r="I180" s="46"/>
    </row>
    <row r="181" spans="8:9" ht="69" customHeight="1" x14ac:dyDescent="0.25">
      <c r="H181" s="46"/>
      <c r="I181" s="46"/>
    </row>
    <row r="182" spans="8:9" ht="69" customHeight="1" x14ac:dyDescent="0.25">
      <c r="H182" s="46"/>
      <c r="I182" s="46"/>
    </row>
    <row r="183" spans="8:9" ht="69" customHeight="1" x14ac:dyDescent="0.25">
      <c r="H183" s="46"/>
      <c r="I183" s="46"/>
    </row>
    <row r="184" spans="8:9" ht="69" customHeight="1" x14ac:dyDescent="0.25">
      <c r="H184" s="46"/>
      <c r="I184" s="46"/>
    </row>
    <row r="185" spans="8:9" ht="69" customHeight="1" x14ac:dyDescent="0.25">
      <c r="H185" s="46"/>
      <c r="I185" s="46"/>
    </row>
    <row r="186" spans="8:9" ht="69" customHeight="1" x14ac:dyDescent="0.25">
      <c r="H186" s="46"/>
      <c r="I186" s="46"/>
    </row>
    <row r="187" spans="8:9" ht="69" customHeight="1" x14ac:dyDescent="0.25">
      <c r="H187" s="46"/>
      <c r="I187" s="46"/>
    </row>
    <row r="188" spans="8:9" ht="69" customHeight="1" x14ac:dyDescent="0.25">
      <c r="H188" s="46"/>
      <c r="I188" s="46"/>
    </row>
    <row r="189" spans="8:9" ht="69" customHeight="1" x14ac:dyDescent="0.25">
      <c r="H189" s="46"/>
      <c r="I189" s="46"/>
    </row>
    <row r="190" spans="8:9" ht="69" customHeight="1" x14ac:dyDescent="0.25">
      <c r="H190" s="46"/>
      <c r="I190" s="46"/>
    </row>
    <row r="191" spans="8:9" ht="69" customHeight="1" x14ac:dyDescent="0.25">
      <c r="H191" s="46"/>
      <c r="I191" s="46"/>
    </row>
    <row r="192" spans="8:9" ht="69" customHeight="1" x14ac:dyDescent="0.25">
      <c r="H192" s="46"/>
      <c r="I192" s="46"/>
    </row>
    <row r="193" spans="8:9" ht="69" customHeight="1" x14ac:dyDescent="0.25">
      <c r="H193" s="46"/>
      <c r="I193" s="46"/>
    </row>
    <row r="194" spans="8:9" ht="69" customHeight="1" x14ac:dyDescent="0.25">
      <c r="H194" s="46"/>
      <c r="I194" s="46"/>
    </row>
    <row r="195" spans="8:9" ht="69" customHeight="1" x14ac:dyDescent="0.25">
      <c r="H195" s="46"/>
      <c r="I195" s="46"/>
    </row>
    <row r="196" spans="8:9" ht="69" customHeight="1" x14ac:dyDescent="0.25">
      <c r="H196" s="46"/>
      <c r="I196" s="46"/>
    </row>
    <row r="197" spans="8:9" ht="69" customHeight="1" x14ac:dyDescent="0.25">
      <c r="H197" s="46"/>
      <c r="I197" s="46"/>
    </row>
    <row r="198" spans="8:9" ht="69" customHeight="1" x14ac:dyDescent="0.25">
      <c r="H198" s="46"/>
      <c r="I198" s="46"/>
    </row>
    <row r="199" spans="8:9" ht="69" customHeight="1" x14ac:dyDescent="0.25">
      <c r="H199" s="46"/>
      <c r="I199" s="46"/>
    </row>
    <row r="200" spans="8:9" ht="69" customHeight="1" x14ac:dyDescent="0.25">
      <c r="H200" s="46"/>
      <c r="I200" s="46"/>
    </row>
    <row r="201" spans="8:9" ht="69" customHeight="1" x14ac:dyDescent="0.25">
      <c r="H201" s="46"/>
      <c r="I201" s="46"/>
    </row>
    <row r="202" spans="8:9" ht="69" customHeight="1" x14ac:dyDescent="0.25">
      <c r="H202" s="46"/>
      <c r="I202" s="46"/>
    </row>
    <row r="203" spans="8:9" ht="69" customHeight="1" x14ac:dyDescent="0.25">
      <c r="H203" s="46"/>
      <c r="I203" s="46"/>
    </row>
    <row r="204" spans="8:9" ht="69" customHeight="1" x14ac:dyDescent="0.25">
      <c r="H204" s="46"/>
      <c r="I204" s="46"/>
    </row>
    <row r="205" spans="8:9" ht="69" customHeight="1" x14ac:dyDescent="0.25">
      <c r="H205" s="46"/>
      <c r="I205" s="46"/>
    </row>
    <row r="206" spans="8:9" ht="69" customHeight="1" x14ac:dyDescent="0.25">
      <c r="H206" s="46"/>
      <c r="I206" s="46"/>
    </row>
    <row r="207" spans="8:9" ht="69" customHeight="1" x14ac:dyDescent="0.25">
      <c r="H207" s="46"/>
      <c r="I207" s="46"/>
    </row>
    <row r="208" spans="8:9" ht="69" customHeight="1" x14ac:dyDescent="0.25">
      <c r="H208" s="46"/>
      <c r="I208" s="46"/>
    </row>
    <row r="209" spans="8:9" ht="69" customHeight="1" x14ac:dyDescent="0.25">
      <c r="H209" s="46"/>
      <c r="I209" s="46"/>
    </row>
    <row r="210" spans="8:9" ht="69" customHeight="1" x14ac:dyDescent="0.25">
      <c r="H210" s="46"/>
      <c r="I210" s="46"/>
    </row>
    <row r="211" spans="8:9" ht="69" customHeight="1" x14ac:dyDescent="0.25">
      <c r="H211" s="46"/>
      <c r="I211" s="46"/>
    </row>
    <row r="212" spans="8:9" ht="69" customHeight="1" x14ac:dyDescent="0.25">
      <c r="H212" s="46"/>
      <c r="I212" s="46"/>
    </row>
    <row r="213" spans="8:9" ht="69" customHeight="1" x14ac:dyDescent="0.25">
      <c r="H213" s="46"/>
      <c r="I213" s="46"/>
    </row>
    <row r="214" spans="8:9" ht="69" customHeight="1" x14ac:dyDescent="0.25">
      <c r="H214" s="46"/>
      <c r="I214" s="46"/>
    </row>
    <row r="215" spans="8:9" ht="69" customHeight="1" x14ac:dyDescent="0.25">
      <c r="H215" s="46"/>
      <c r="I215" s="46"/>
    </row>
    <row r="216" spans="8:9" ht="69" customHeight="1" x14ac:dyDescent="0.25">
      <c r="H216" s="46"/>
      <c r="I216" s="46"/>
    </row>
    <row r="217" spans="8:9" ht="69" customHeight="1" x14ac:dyDescent="0.25">
      <c r="H217" s="46"/>
      <c r="I217" s="46"/>
    </row>
    <row r="218" spans="8:9" ht="69" customHeight="1" x14ac:dyDescent="0.25">
      <c r="H218" s="46"/>
      <c r="I218" s="46"/>
    </row>
    <row r="219" spans="8:9" ht="69" customHeight="1" x14ac:dyDescent="0.25">
      <c r="H219" s="46"/>
      <c r="I219" s="46"/>
    </row>
    <row r="220" spans="8:9" ht="69" customHeight="1" x14ac:dyDescent="0.25">
      <c r="H220" s="46"/>
      <c r="I220" s="46"/>
    </row>
    <row r="221" spans="8:9" ht="69" customHeight="1" x14ac:dyDescent="0.25">
      <c r="H221" s="46"/>
      <c r="I221" s="46"/>
    </row>
    <row r="222" spans="8:9" ht="69" customHeight="1" x14ac:dyDescent="0.25">
      <c r="H222" s="46"/>
      <c r="I222" s="46"/>
    </row>
    <row r="223" spans="8:9" ht="69" customHeight="1" x14ac:dyDescent="0.25">
      <c r="H223" s="46"/>
      <c r="I223" s="46"/>
    </row>
    <row r="224" spans="8:9" ht="69" customHeight="1" x14ac:dyDescent="0.25">
      <c r="H224" s="46"/>
      <c r="I224" s="46"/>
    </row>
    <row r="225" spans="8:9" ht="69" customHeight="1" x14ac:dyDescent="0.25">
      <c r="H225" s="46"/>
      <c r="I225" s="46"/>
    </row>
    <row r="226" spans="8:9" ht="69" customHeight="1" x14ac:dyDescent="0.25">
      <c r="H226" s="46"/>
      <c r="I226" s="46"/>
    </row>
    <row r="227" spans="8:9" ht="69" customHeight="1" x14ac:dyDescent="0.25">
      <c r="H227" s="46"/>
      <c r="I227" s="46"/>
    </row>
    <row r="228" spans="8:9" ht="69" customHeight="1" x14ac:dyDescent="0.25">
      <c r="H228" s="46"/>
      <c r="I228" s="46"/>
    </row>
    <row r="229" spans="8:9" ht="69" customHeight="1" x14ac:dyDescent="0.25">
      <c r="H229" s="46"/>
      <c r="I229" s="46"/>
    </row>
    <row r="230" spans="8:9" ht="69" customHeight="1" x14ac:dyDescent="0.25">
      <c r="H230" s="46"/>
      <c r="I230" s="46"/>
    </row>
    <row r="231" spans="8:9" ht="69" customHeight="1" x14ac:dyDescent="0.25">
      <c r="H231" s="46"/>
      <c r="I231" s="46"/>
    </row>
    <row r="232" spans="8:9" ht="69" customHeight="1" x14ac:dyDescent="0.25">
      <c r="H232" s="46"/>
      <c r="I232" s="46"/>
    </row>
    <row r="233" spans="8:9" ht="69" customHeight="1" x14ac:dyDescent="0.25">
      <c r="H233" s="46"/>
      <c r="I233" s="46"/>
    </row>
    <row r="234" spans="8:9" ht="69" customHeight="1" x14ac:dyDescent="0.25">
      <c r="H234" s="46"/>
      <c r="I234" s="46"/>
    </row>
    <row r="235" spans="8:9" ht="69" customHeight="1" x14ac:dyDescent="0.25">
      <c r="H235" s="46"/>
      <c r="I235" s="46"/>
    </row>
    <row r="236" spans="8:9" ht="69" customHeight="1" x14ac:dyDescent="0.25">
      <c r="H236" s="46"/>
      <c r="I236" s="46"/>
    </row>
    <row r="237" spans="8:9" ht="69" customHeight="1" x14ac:dyDescent="0.25">
      <c r="H237" s="46"/>
      <c r="I237" s="46"/>
    </row>
    <row r="238" spans="8:9" ht="69" customHeight="1" x14ac:dyDescent="0.25">
      <c r="H238" s="46"/>
      <c r="I238" s="46"/>
    </row>
    <row r="239" spans="8:9" ht="69" customHeight="1" x14ac:dyDescent="0.25">
      <c r="H239" s="46"/>
      <c r="I239" s="46"/>
    </row>
    <row r="240" spans="8:9" ht="69" customHeight="1" x14ac:dyDescent="0.25">
      <c r="H240" s="46"/>
      <c r="I240" s="46"/>
    </row>
    <row r="241" spans="8:9" ht="69" customHeight="1" x14ac:dyDescent="0.25">
      <c r="H241" s="46"/>
      <c r="I241" s="46"/>
    </row>
    <row r="242" spans="8:9" ht="69" customHeight="1" x14ac:dyDescent="0.25">
      <c r="H242" s="46"/>
      <c r="I242" s="46"/>
    </row>
    <row r="243" spans="8:9" ht="69" customHeight="1" x14ac:dyDescent="0.25">
      <c r="H243" s="46"/>
      <c r="I243" s="46"/>
    </row>
    <row r="244" spans="8:9" ht="69" customHeight="1" x14ac:dyDescent="0.25">
      <c r="H244" s="46"/>
      <c r="I244" s="46"/>
    </row>
    <row r="245" spans="8:9" ht="69" customHeight="1" x14ac:dyDescent="0.25">
      <c r="H245" s="46"/>
      <c r="I245" s="46"/>
    </row>
    <row r="246" spans="8:9" ht="69" customHeight="1" x14ac:dyDescent="0.25">
      <c r="H246" s="46"/>
      <c r="I246" s="46"/>
    </row>
    <row r="247" spans="8:9" ht="69" customHeight="1" x14ac:dyDescent="0.25">
      <c r="H247" s="46"/>
      <c r="I247" s="46"/>
    </row>
    <row r="248" spans="8:9" ht="69" customHeight="1" x14ac:dyDescent="0.25">
      <c r="H248" s="46"/>
      <c r="I248" s="46"/>
    </row>
    <row r="249" spans="8:9" ht="69" customHeight="1" x14ac:dyDescent="0.25">
      <c r="H249" s="46"/>
      <c r="I249" s="46"/>
    </row>
    <row r="250" spans="8:9" ht="69" customHeight="1" x14ac:dyDescent="0.25">
      <c r="H250" s="46"/>
      <c r="I250" s="46"/>
    </row>
    <row r="251" spans="8:9" ht="69" customHeight="1" x14ac:dyDescent="0.25">
      <c r="H251" s="46"/>
      <c r="I251" s="46"/>
    </row>
    <row r="252" spans="8:9" ht="69" customHeight="1" x14ac:dyDescent="0.25">
      <c r="H252" s="46"/>
      <c r="I252" s="46"/>
    </row>
    <row r="253" spans="8:9" ht="69" customHeight="1" x14ac:dyDescent="0.25">
      <c r="H253" s="46"/>
      <c r="I253" s="46"/>
    </row>
    <row r="254" spans="8:9" ht="69" customHeight="1" x14ac:dyDescent="0.25">
      <c r="H254" s="46"/>
      <c r="I254" s="46"/>
    </row>
    <row r="255" spans="8:9" ht="69" customHeight="1" x14ac:dyDescent="0.25">
      <c r="H255" s="46"/>
      <c r="I255" s="46"/>
    </row>
    <row r="256" spans="8:9" ht="69" customHeight="1" x14ac:dyDescent="0.25">
      <c r="H256" s="46"/>
      <c r="I256" s="46"/>
    </row>
    <row r="257" spans="8:9" ht="69" customHeight="1" x14ac:dyDescent="0.25">
      <c r="H257" s="46"/>
      <c r="I257" s="46"/>
    </row>
    <row r="258" spans="8:9" ht="69" customHeight="1" x14ac:dyDescent="0.25">
      <c r="H258" s="46"/>
      <c r="I258" s="46"/>
    </row>
    <row r="259" spans="8:9" ht="69" customHeight="1" x14ac:dyDescent="0.25">
      <c r="H259" s="46"/>
      <c r="I259" s="46"/>
    </row>
    <row r="260" spans="8:9" ht="69" customHeight="1" x14ac:dyDescent="0.25">
      <c r="H260" s="46"/>
      <c r="I260" s="46"/>
    </row>
    <row r="261" spans="8:9" ht="69" customHeight="1" x14ac:dyDescent="0.25">
      <c r="H261" s="46"/>
      <c r="I261" s="46"/>
    </row>
    <row r="262" spans="8:9" ht="69" customHeight="1" x14ac:dyDescent="0.25">
      <c r="H262" s="46"/>
      <c r="I262" s="46"/>
    </row>
    <row r="263" spans="8:9" ht="69" customHeight="1" x14ac:dyDescent="0.25">
      <c r="H263" s="46"/>
      <c r="I263" s="46"/>
    </row>
    <row r="264" spans="8:9" ht="69" customHeight="1" x14ac:dyDescent="0.25">
      <c r="H264" s="46"/>
      <c r="I264" s="46"/>
    </row>
    <row r="265" spans="8:9" ht="69" customHeight="1" x14ac:dyDescent="0.25">
      <c r="H265" s="46"/>
      <c r="I265" s="46"/>
    </row>
    <row r="266" spans="8:9" ht="69" customHeight="1" x14ac:dyDescent="0.25">
      <c r="H266" s="46"/>
      <c r="I266" s="46"/>
    </row>
    <row r="267" spans="8:9" ht="69" customHeight="1" x14ac:dyDescent="0.25">
      <c r="H267" s="46"/>
      <c r="I267" s="46"/>
    </row>
    <row r="268" spans="8:9" ht="69" customHeight="1" x14ac:dyDescent="0.25">
      <c r="H268" s="46"/>
      <c r="I268" s="46"/>
    </row>
    <row r="269" spans="8:9" ht="69" customHeight="1" x14ac:dyDescent="0.25">
      <c r="H269" s="46"/>
      <c r="I269" s="46"/>
    </row>
    <row r="270" spans="8:9" ht="69" customHeight="1" x14ac:dyDescent="0.25">
      <c r="H270" s="46"/>
      <c r="I270" s="46"/>
    </row>
    <row r="271" spans="8:9" ht="69" customHeight="1" x14ac:dyDescent="0.25">
      <c r="H271" s="46"/>
      <c r="I271" s="46"/>
    </row>
    <row r="272" spans="8:9" ht="69" customHeight="1" x14ac:dyDescent="0.25">
      <c r="H272" s="46"/>
      <c r="I272" s="46"/>
    </row>
    <row r="273" spans="8:9" ht="69" customHeight="1" x14ac:dyDescent="0.25">
      <c r="H273" s="46"/>
      <c r="I273" s="46"/>
    </row>
    <row r="274" spans="8:9" ht="69" customHeight="1" x14ac:dyDescent="0.25">
      <c r="H274" s="46"/>
      <c r="I274" s="46"/>
    </row>
    <row r="275" spans="8:9" ht="69" customHeight="1" x14ac:dyDescent="0.25">
      <c r="H275" s="46"/>
      <c r="I275" s="46"/>
    </row>
    <row r="276" spans="8:9" ht="69" customHeight="1" x14ac:dyDescent="0.25">
      <c r="H276" s="46"/>
      <c r="I276" s="46"/>
    </row>
    <row r="277" spans="8:9" ht="69" customHeight="1" x14ac:dyDescent="0.25">
      <c r="H277" s="46"/>
      <c r="I277" s="46"/>
    </row>
    <row r="278" spans="8:9" ht="69" customHeight="1" x14ac:dyDescent="0.25">
      <c r="H278" s="46"/>
      <c r="I278" s="46"/>
    </row>
    <row r="279" spans="8:9" ht="69" customHeight="1" x14ac:dyDescent="0.25">
      <c r="H279" s="46"/>
      <c r="I279" s="46"/>
    </row>
    <row r="280" spans="8:9" ht="69" customHeight="1" x14ac:dyDescent="0.25">
      <c r="H280" s="46"/>
      <c r="I280" s="46"/>
    </row>
    <row r="281" spans="8:9" ht="69" customHeight="1" x14ac:dyDescent="0.25">
      <c r="H281" s="46"/>
      <c r="I281" s="46"/>
    </row>
    <row r="282" spans="8:9" ht="69" customHeight="1" x14ac:dyDescent="0.25">
      <c r="H282" s="46"/>
      <c r="I282" s="46"/>
    </row>
    <row r="283" spans="8:9" ht="69" customHeight="1" x14ac:dyDescent="0.25">
      <c r="H283" s="46"/>
      <c r="I283" s="46"/>
    </row>
    <row r="284" spans="8:9" ht="69" customHeight="1" x14ac:dyDescent="0.25">
      <c r="H284" s="46"/>
      <c r="I284" s="46"/>
    </row>
    <row r="285" spans="8:9" ht="69" customHeight="1" x14ac:dyDescent="0.25">
      <c r="H285" s="46"/>
      <c r="I285" s="46"/>
    </row>
    <row r="286" spans="8:9" ht="69" customHeight="1" x14ac:dyDescent="0.25">
      <c r="H286" s="46"/>
      <c r="I286" s="46"/>
    </row>
    <row r="287" spans="8:9" ht="69" customHeight="1" x14ac:dyDescent="0.25">
      <c r="H287" s="46"/>
      <c r="I287" s="46"/>
    </row>
    <row r="288" spans="8:9" ht="69" customHeight="1" x14ac:dyDescent="0.25">
      <c r="H288" s="46"/>
      <c r="I288" s="46"/>
    </row>
    <row r="289" spans="8:9" ht="69" customHeight="1" x14ac:dyDescent="0.25">
      <c r="H289" s="46"/>
      <c r="I289" s="46"/>
    </row>
    <row r="290" spans="8:9" ht="69" customHeight="1" x14ac:dyDescent="0.25">
      <c r="H290" s="46"/>
      <c r="I290" s="46"/>
    </row>
    <row r="291" spans="8:9" ht="69" customHeight="1" x14ac:dyDescent="0.25">
      <c r="H291" s="46"/>
      <c r="I291" s="46"/>
    </row>
    <row r="292" spans="8:9" ht="69" customHeight="1" x14ac:dyDescent="0.25">
      <c r="H292" s="46"/>
      <c r="I292" s="46"/>
    </row>
    <row r="293" spans="8:9" ht="69" customHeight="1" x14ac:dyDescent="0.25">
      <c r="H293" s="46"/>
      <c r="I293" s="46"/>
    </row>
    <row r="294" spans="8:9" ht="69" customHeight="1" x14ac:dyDescent="0.25">
      <c r="H294" s="46"/>
      <c r="I294" s="46"/>
    </row>
    <row r="295" spans="8:9" ht="69" customHeight="1" x14ac:dyDescent="0.25">
      <c r="H295" s="46"/>
      <c r="I295" s="46"/>
    </row>
    <row r="296" spans="8:9" ht="69" customHeight="1" x14ac:dyDescent="0.25">
      <c r="H296" s="46"/>
      <c r="I296" s="46"/>
    </row>
    <row r="297" spans="8:9" ht="69" customHeight="1" x14ac:dyDescent="0.25">
      <c r="H297" s="46"/>
      <c r="I297" s="46"/>
    </row>
    <row r="298" spans="8:9" ht="69" customHeight="1" x14ac:dyDescent="0.25">
      <c r="H298" s="46"/>
      <c r="I298" s="46"/>
    </row>
    <row r="299" spans="8:9" ht="69" customHeight="1" x14ac:dyDescent="0.25">
      <c r="H299" s="46"/>
      <c r="I299" s="46"/>
    </row>
    <row r="300" spans="8:9" ht="69" customHeight="1" x14ac:dyDescent="0.25">
      <c r="H300" s="46"/>
      <c r="I300" s="46"/>
    </row>
    <row r="301" spans="8:9" ht="69" customHeight="1" x14ac:dyDescent="0.25">
      <c r="H301" s="46"/>
      <c r="I301" s="46"/>
    </row>
    <row r="302" spans="8:9" ht="15.75" customHeight="1" x14ac:dyDescent="0.25"/>
    <row r="303" spans="8:9" ht="15.75" customHeight="1" x14ac:dyDescent="0.25"/>
    <row r="304" spans="8:9"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R93">
    <cfRule type="colorScale" priority="1">
      <colorScale>
        <cfvo type="min"/>
        <cfvo type="max"/>
        <color rgb="FF57BB8A"/>
        <color rgb="FFFFFFFF"/>
      </colorScale>
    </cfRule>
  </conditionalFormatting>
  <hyperlinks>
    <hyperlink ref="L2" r:id="rId1" xr:uid="{00000000-0004-0000-0000-000000000000}"/>
    <hyperlink ref="T2" r:id="rId2" xr:uid="{00000000-0004-0000-0000-000001000000}"/>
    <hyperlink ref="L3" r:id="rId3" xr:uid="{00000000-0004-0000-0000-000002000000}"/>
    <hyperlink ref="T3" r:id="rId4" xr:uid="{00000000-0004-0000-0000-000003000000}"/>
    <hyperlink ref="L4" r:id="rId5" xr:uid="{00000000-0004-0000-0000-000004000000}"/>
    <hyperlink ref="T4" r:id="rId6" xr:uid="{00000000-0004-0000-0000-000005000000}"/>
    <hyperlink ref="L5" r:id="rId7" xr:uid="{00000000-0004-0000-0000-000006000000}"/>
    <hyperlink ref="T5" r:id="rId8" xr:uid="{00000000-0004-0000-0000-000007000000}"/>
    <hyperlink ref="L6" r:id="rId9" xr:uid="{00000000-0004-0000-0000-000008000000}"/>
    <hyperlink ref="T6" r:id="rId10" xr:uid="{00000000-0004-0000-0000-000009000000}"/>
    <hyperlink ref="L7" r:id="rId11" xr:uid="{00000000-0004-0000-0000-00000A000000}"/>
    <hyperlink ref="T7" r:id="rId12" xr:uid="{00000000-0004-0000-0000-00000B000000}"/>
    <hyperlink ref="L8" r:id="rId13" xr:uid="{00000000-0004-0000-0000-00000C000000}"/>
    <hyperlink ref="T8" r:id="rId14" xr:uid="{00000000-0004-0000-0000-00000D000000}"/>
    <hyperlink ref="L9" r:id="rId15" xr:uid="{00000000-0004-0000-0000-00000E000000}"/>
    <hyperlink ref="T9" r:id="rId16" xr:uid="{00000000-0004-0000-0000-00000F000000}"/>
    <hyperlink ref="L10" r:id="rId17" xr:uid="{00000000-0004-0000-0000-000010000000}"/>
    <hyperlink ref="T10" r:id="rId18" xr:uid="{00000000-0004-0000-0000-000011000000}"/>
    <hyperlink ref="L11" r:id="rId19" xr:uid="{00000000-0004-0000-0000-000012000000}"/>
    <hyperlink ref="T11" r:id="rId20" xr:uid="{00000000-0004-0000-0000-000013000000}"/>
    <hyperlink ref="L12" r:id="rId21" xr:uid="{00000000-0004-0000-0000-000014000000}"/>
    <hyperlink ref="T12" r:id="rId22" xr:uid="{00000000-0004-0000-0000-000015000000}"/>
    <hyperlink ref="L13" r:id="rId23" xr:uid="{00000000-0004-0000-0000-000016000000}"/>
    <hyperlink ref="T13" r:id="rId24" xr:uid="{00000000-0004-0000-0000-000017000000}"/>
    <hyperlink ref="L14" r:id="rId25" xr:uid="{00000000-0004-0000-0000-000018000000}"/>
    <hyperlink ref="T14" r:id="rId26" xr:uid="{00000000-0004-0000-0000-000019000000}"/>
    <hyperlink ref="L15" r:id="rId27" xr:uid="{00000000-0004-0000-0000-00001A000000}"/>
    <hyperlink ref="T15" r:id="rId28" xr:uid="{00000000-0004-0000-0000-00001B000000}"/>
    <hyperlink ref="L16" r:id="rId29" xr:uid="{00000000-0004-0000-0000-00001C000000}"/>
    <hyperlink ref="T16" r:id="rId30" xr:uid="{00000000-0004-0000-0000-00001D000000}"/>
    <hyperlink ref="L17" r:id="rId31" xr:uid="{00000000-0004-0000-0000-00001E000000}"/>
    <hyperlink ref="T17" r:id="rId32" xr:uid="{00000000-0004-0000-0000-00001F000000}"/>
    <hyperlink ref="L18" r:id="rId33" xr:uid="{00000000-0004-0000-0000-000020000000}"/>
    <hyperlink ref="T18" r:id="rId34" xr:uid="{00000000-0004-0000-0000-000021000000}"/>
    <hyperlink ref="L19" r:id="rId35" xr:uid="{00000000-0004-0000-0000-000022000000}"/>
    <hyperlink ref="T19" r:id="rId36" xr:uid="{00000000-0004-0000-0000-000023000000}"/>
    <hyperlink ref="L20" r:id="rId37" xr:uid="{00000000-0004-0000-0000-000024000000}"/>
    <hyperlink ref="T20" r:id="rId38" xr:uid="{00000000-0004-0000-0000-000025000000}"/>
    <hyperlink ref="L21" r:id="rId39" xr:uid="{00000000-0004-0000-0000-000026000000}"/>
    <hyperlink ref="T21" r:id="rId40" xr:uid="{00000000-0004-0000-0000-000027000000}"/>
    <hyperlink ref="L22" r:id="rId41" xr:uid="{00000000-0004-0000-0000-000028000000}"/>
    <hyperlink ref="T22" r:id="rId42" xr:uid="{00000000-0004-0000-0000-000029000000}"/>
    <hyperlink ref="L23" r:id="rId43" xr:uid="{00000000-0004-0000-0000-00002A000000}"/>
    <hyperlink ref="T23" r:id="rId44" xr:uid="{00000000-0004-0000-0000-00002B000000}"/>
    <hyperlink ref="L24" r:id="rId45" xr:uid="{00000000-0004-0000-0000-00002C000000}"/>
    <hyperlink ref="T24" r:id="rId46" xr:uid="{00000000-0004-0000-0000-00002D000000}"/>
    <hyperlink ref="L25" r:id="rId47" xr:uid="{00000000-0004-0000-0000-00002E000000}"/>
    <hyperlink ref="T25" r:id="rId48" xr:uid="{00000000-0004-0000-0000-00002F000000}"/>
    <hyperlink ref="L26" r:id="rId49" xr:uid="{00000000-0004-0000-0000-000030000000}"/>
    <hyperlink ref="T26" r:id="rId50" xr:uid="{00000000-0004-0000-0000-000031000000}"/>
    <hyperlink ref="L27" r:id="rId51" xr:uid="{00000000-0004-0000-0000-000032000000}"/>
    <hyperlink ref="T27" r:id="rId52" xr:uid="{00000000-0004-0000-0000-000033000000}"/>
    <hyperlink ref="L28" r:id="rId53" xr:uid="{00000000-0004-0000-0000-000034000000}"/>
    <hyperlink ref="T28" r:id="rId54" xr:uid="{00000000-0004-0000-0000-000035000000}"/>
    <hyperlink ref="L29" r:id="rId55" xr:uid="{00000000-0004-0000-0000-000036000000}"/>
    <hyperlink ref="T29" r:id="rId56" xr:uid="{00000000-0004-0000-0000-000037000000}"/>
    <hyperlink ref="L30" r:id="rId57" xr:uid="{00000000-0004-0000-0000-000038000000}"/>
    <hyperlink ref="T30" r:id="rId58" xr:uid="{00000000-0004-0000-0000-000039000000}"/>
    <hyperlink ref="L31" r:id="rId59" xr:uid="{00000000-0004-0000-0000-00003A000000}"/>
    <hyperlink ref="T31" r:id="rId60" xr:uid="{00000000-0004-0000-0000-00003B000000}"/>
    <hyperlink ref="L32" r:id="rId61" xr:uid="{00000000-0004-0000-0000-00003C000000}"/>
    <hyperlink ref="T32" r:id="rId62" xr:uid="{00000000-0004-0000-0000-00003D000000}"/>
    <hyperlink ref="L33" r:id="rId63" xr:uid="{00000000-0004-0000-0000-00003E000000}"/>
    <hyperlink ref="T33" r:id="rId64" xr:uid="{00000000-0004-0000-0000-00003F000000}"/>
    <hyperlink ref="L34" r:id="rId65" xr:uid="{00000000-0004-0000-0000-000040000000}"/>
    <hyperlink ref="T34" r:id="rId66" xr:uid="{00000000-0004-0000-0000-000041000000}"/>
    <hyperlink ref="L35" r:id="rId67" xr:uid="{00000000-0004-0000-0000-000042000000}"/>
    <hyperlink ref="T35" r:id="rId68" xr:uid="{00000000-0004-0000-0000-000043000000}"/>
    <hyperlink ref="L36" r:id="rId69" xr:uid="{00000000-0004-0000-0000-000044000000}"/>
    <hyperlink ref="T36" r:id="rId70" xr:uid="{00000000-0004-0000-0000-000045000000}"/>
    <hyperlink ref="L37" r:id="rId71" xr:uid="{00000000-0004-0000-0000-000046000000}"/>
    <hyperlink ref="T37" r:id="rId72" xr:uid="{00000000-0004-0000-0000-000047000000}"/>
    <hyperlink ref="L38" r:id="rId73" xr:uid="{00000000-0004-0000-0000-000048000000}"/>
    <hyperlink ref="T38" r:id="rId74" xr:uid="{00000000-0004-0000-0000-000049000000}"/>
    <hyperlink ref="L39" r:id="rId75" xr:uid="{00000000-0004-0000-0000-00004A000000}"/>
    <hyperlink ref="T39" r:id="rId76" xr:uid="{00000000-0004-0000-0000-00004B000000}"/>
    <hyperlink ref="L40" r:id="rId77" xr:uid="{00000000-0004-0000-0000-00004C000000}"/>
    <hyperlink ref="T40" r:id="rId78" xr:uid="{00000000-0004-0000-0000-00004D000000}"/>
    <hyperlink ref="L41" r:id="rId79" xr:uid="{00000000-0004-0000-0000-00004E000000}"/>
    <hyperlink ref="T41" r:id="rId80" xr:uid="{00000000-0004-0000-0000-00004F000000}"/>
    <hyperlink ref="L42" r:id="rId81" xr:uid="{00000000-0004-0000-0000-000050000000}"/>
    <hyperlink ref="T42" r:id="rId82" xr:uid="{00000000-0004-0000-0000-000051000000}"/>
    <hyperlink ref="L43" r:id="rId83" xr:uid="{00000000-0004-0000-0000-000052000000}"/>
    <hyperlink ref="T43" r:id="rId84" xr:uid="{00000000-0004-0000-0000-000053000000}"/>
    <hyperlink ref="L44" r:id="rId85" xr:uid="{00000000-0004-0000-0000-000054000000}"/>
    <hyperlink ref="T44" r:id="rId86" xr:uid="{00000000-0004-0000-0000-000055000000}"/>
    <hyperlink ref="L45" r:id="rId87" xr:uid="{00000000-0004-0000-0000-000056000000}"/>
    <hyperlink ref="T45" r:id="rId88" xr:uid="{00000000-0004-0000-0000-000057000000}"/>
    <hyperlink ref="L46" r:id="rId89" xr:uid="{00000000-0004-0000-0000-000058000000}"/>
    <hyperlink ref="T46" r:id="rId90" xr:uid="{00000000-0004-0000-0000-000059000000}"/>
    <hyperlink ref="L47" r:id="rId91" xr:uid="{00000000-0004-0000-0000-00005A000000}"/>
    <hyperlink ref="T47" r:id="rId92" xr:uid="{00000000-0004-0000-0000-00005B000000}"/>
    <hyperlink ref="L48" r:id="rId93" xr:uid="{00000000-0004-0000-0000-00005C000000}"/>
    <hyperlink ref="T48" r:id="rId94" xr:uid="{00000000-0004-0000-0000-00005D000000}"/>
    <hyperlink ref="L49" r:id="rId95" xr:uid="{00000000-0004-0000-0000-00005E000000}"/>
    <hyperlink ref="T49" r:id="rId96" xr:uid="{00000000-0004-0000-0000-00005F000000}"/>
    <hyperlink ref="L50" r:id="rId97" xr:uid="{00000000-0004-0000-0000-000060000000}"/>
    <hyperlink ref="T50" r:id="rId98" xr:uid="{00000000-0004-0000-0000-000061000000}"/>
    <hyperlink ref="L51" r:id="rId99" xr:uid="{00000000-0004-0000-0000-000062000000}"/>
    <hyperlink ref="T51" r:id="rId100" xr:uid="{00000000-0004-0000-0000-000063000000}"/>
    <hyperlink ref="L52" r:id="rId101" xr:uid="{00000000-0004-0000-0000-000064000000}"/>
    <hyperlink ref="T52" r:id="rId102" xr:uid="{00000000-0004-0000-0000-000065000000}"/>
    <hyperlink ref="L53" r:id="rId103" xr:uid="{00000000-0004-0000-0000-000066000000}"/>
    <hyperlink ref="T53" r:id="rId104" xr:uid="{00000000-0004-0000-0000-000067000000}"/>
    <hyperlink ref="L54" r:id="rId105" xr:uid="{00000000-0004-0000-0000-000068000000}"/>
    <hyperlink ref="T54" r:id="rId106" xr:uid="{00000000-0004-0000-0000-000069000000}"/>
    <hyperlink ref="L55" r:id="rId107" xr:uid="{00000000-0004-0000-0000-00006A000000}"/>
    <hyperlink ref="T55" r:id="rId108" xr:uid="{00000000-0004-0000-0000-00006B000000}"/>
    <hyperlink ref="L56" r:id="rId109" xr:uid="{00000000-0004-0000-0000-00006C000000}"/>
    <hyperlink ref="T56" r:id="rId110" xr:uid="{00000000-0004-0000-0000-00006D000000}"/>
    <hyperlink ref="L57" r:id="rId111" xr:uid="{00000000-0004-0000-0000-00006E000000}"/>
    <hyperlink ref="T57" r:id="rId112" xr:uid="{00000000-0004-0000-0000-00006F000000}"/>
    <hyperlink ref="L58" r:id="rId113" xr:uid="{00000000-0004-0000-0000-000070000000}"/>
    <hyperlink ref="T58" r:id="rId114" xr:uid="{00000000-0004-0000-0000-000071000000}"/>
    <hyperlink ref="L59" r:id="rId115" xr:uid="{00000000-0004-0000-0000-000072000000}"/>
    <hyperlink ref="T59" r:id="rId116" xr:uid="{00000000-0004-0000-0000-000073000000}"/>
    <hyperlink ref="L60" r:id="rId117" xr:uid="{00000000-0004-0000-0000-000074000000}"/>
    <hyperlink ref="T60" r:id="rId118" xr:uid="{00000000-0004-0000-0000-000075000000}"/>
    <hyperlink ref="L61" r:id="rId119" xr:uid="{00000000-0004-0000-0000-000076000000}"/>
    <hyperlink ref="T61" r:id="rId120" xr:uid="{00000000-0004-0000-0000-000077000000}"/>
    <hyperlink ref="L62" r:id="rId121" xr:uid="{00000000-0004-0000-0000-000078000000}"/>
    <hyperlink ref="T62" r:id="rId122" xr:uid="{00000000-0004-0000-0000-000079000000}"/>
    <hyperlink ref="L63" r:id="rId123" xr:uid="{00000000-0004-0000-0000-00007A000000}"/>
    <hyperlink ref="T63" r:id="rId124" xr:uid="{00000000-0004-0000-0000-00007B000000}"/>
    <hyperlink ref="L64" r:id="rId125" xr:uid="{00000000-0004-0000-0000-00007C000000}"/>
    <hyperlink ref="T64" r:id="rId126" xr:uid="{00000000-0004-0000-0000-00007D000000}"/>
    <hyperlink ref="L65" r:id="rId127" xr:uid="{00000000-0004-0000-0000-00007E000000}"/>
    <hyperlink ref="T65" r:id="rId128" xr:uid="{00000000-0004-0000-0000-00007F000000}"/>
    <hyperlink ref="L66" r:id="rId129" xr:uid="{00000000-0004-0000-0000-000080000000}"/>
    <hyperlink ref="T66" r:id="rId130" xr:uid="{00000000-0004-0000-0000-000081000000}"/>
    <hyperlink ref="L67" r:id="rId131" xr:uid="{00000000-0004-0000-0000-000082000000}"/>
    <hyperlink ref="T67" r:id="rId132" xr:uid="{00000000-0004-0000-0000-000083000000}"/>
    <hyperlink ref="L68" r:id="rId133" xr:uid="{00000000-0004-0000-0000-000084000000}"/>
    <hyperlink ref="T68" r:id="rId134" xr:uid="{00000000-0004-0000-0000-000085000000}"/>
    <hyperlink ref="L69" r:id="rId135" xr:uid="{00000000-0004-0000-0000-000086000000}"/>
    <hyperlink ref="T69" r:id="rId136" xr:uid="{00000000-0004-0000-0000-000087000000}"/>
    <hyperlink ref="L70" r:id="rId137" xr:uid="{00000000-0004-0000-0000-000088000000}"/>
    <hyperlink ref="T70" r:id="rId138" xr:uid="{00000000-0004-0000-0000-000089000000}"/>
    <hyperlink ref="L71" r:id="rId139" xr:uid="{00000000-0004-0000-0000-00008A000000}"/>
    <hyperlink ref="T71" r:id="rId140" xr:uid="{00000000-0004-0000-0000-00008B000000}"/>
    <hyperlink ref="L72" r:id="rId141" xr:uid="{00000000-0004-0000-0000-00008C000000}"/>
    <hyperlink ref="T72" r:id="rId142" xr:uid="{00000000-0004-0000-0000-00008D000000}"/>
    <hyperlink ref="L73" r:id="rId143" xr:uid="{00000000-0004-0000-0000-00008E000000}"/>
    <hyperlink ref="T73" r:id="rId144" xr:uid="{00000000-0004-0000-0000-00008F000000}"/>
    <hyperlink ref="L74" r:id="rId145" xr:uid="{00000000-0004-0000-0000-000090000000}"/>
    <hyperlink ref="T74" r:id="rId146" xr:uid="{00000000-0004-0000-0000-000091000000}"/>
    <hyperlink ref="L75" r:id="rId147" xr:uid="{00000000-0004-0000-0000-000092000000}"/>
    <hyperlink ref="T75" r:id="rId148" xr:uid="{00000000-0004-0000-0000-000093000000}"/>
    <hyperlink ref="L76" r:id="rId149" xr:uid="{00000000-0004-0000-0000-000094000000}"/>
    <hyperlink ref="T76" r:id="rId150" xr:uid="{00000000-0004-0000-0000-000095000000}"/>
    <hyperlink ref="L77" r:id="rId151" xr:uid="{00000000-0004-0000-0000-000096000000}"/>
    <hyperlink ref="T77" r:id="rId152" xr:uid="{00000000-0004-0000-0000-000097000000}"/>
    <hyperlink ref="L78" r:id="rId153" xr:uid="{00000000-0004-0000-0000-000098000000}"/>
    <hyperlink ref="T78" r:id="rId154" xr:uid="{00000000-0004-0000-0000-000099000000}"/>
    <hyperlink ref="L79" r:id="rId155" xr:uid="{00000000-0004-0000-0000-00009A000000}"/>
    <hyperlink ref="T79" r:id="rId156" xr:uid="{00000000-0004-0000-0000-00009B000000}"/>
    <hyperlink ref="L80" r:id="rId157" xr:uid="{00000000-0004-0000-0000-00009C000000}"/>
    <hyperlink ref="T80" r:id="rId158" xr:uid="{00000000-0004-0000-0000-00009D000000}"/>
    <hyperlink ref="L81" r:id="rId159" xr:uid="{00000000-0004-0000-0000-00009E000000}"/>
    <hyperlink ref="T81" r:id="rId160" xr:uid="{00000000-0004-0000-0000-00009F000000}"/>
    <hyperlink ref="L82" r:id="rId161" xr:uid="{00000000-0004-0000-0000-0000A0000000}"/>
    <hyperlink ref="T82" r:id="rId162" xr:uid="{00000000-0004-0000-0000-0000A1000000}"/>
    <hyperlink ref="L83" r:id="rId163" xr:uid="{00000000-0004-0000-0000-0000A2000000}"/>
    <hyperlink ref="T83" r:id="rId164" xr:uid="{00000000-0004-0000-0000-0000A3000000}"/>
    <hyperlink ref="L84" r:id="rId165" xr:uid="{00000000-0004-0000-0000-0000A4000000}"/>
    <hyperlink ref="T84" r:id="rId166" xr:uid="{00000000-0004-0000-0000-0000A5000000}"/>
    <hyperlink ref="L85" r:id="rId167" xr:uid="{00000000-0004-0000-0000-0000A6000000}"/>
    <hyperlink ref="T85" r:id="rId168" xr:uid="{00000000-0004-0000-0000-0000A7000000}"/>
    <hyperlink ref="L86" r:id="rId169" xr:uid="{00000000-0004-0000-0000-0000A8000000}"/>
    <hyperlink ref="T86" r:id="rId170" xr:uid="{00000000-0004-0000-0000-0000A9000000}"/>
    <hyperlink ref="L87" r:id="rId171" xr:uid="{00000000-0004-0000-0000-0000AA000000}"/>
    <hyperlink ref="T87" r:id="rId172" xr:uid="{00000000-0004-0000-0000-0000AB000000}"/>
    <hyperlink ref="L88" r:id="rId173" xr:uid="{00000000-0004-0000-0000-0000AC000000}"/>
    <hyperlink ref="T88" r:id="rId174" xr:uid="{00000000-0004-0000-0000-0000AD000000}"/>
    <hyperlink ref="L89" r:id="rId175" xr:uid="{00000000-0004-0000-0000-0000AE000000}"/>
    <hyperlink ref="T89" r:id="rId176" xr:uid="{00000000-0004-0000-0000-0000AF000000}"/>
    <hyperlink ref="L90" r:id="rId177" xr:uid="{00000000-0004-0000-0000-0000B0000000}"/>
    <hyperlink ref="T90" r:id="rId178" xr:uid="{00000000-0004-0000-0000-0000B1000000}"/>
    <hyperlink ref="L91" r:id="rId179" xr:uid="{00000000-0004-0000-0000-0000B2000000}"/>
    <hyperlink ref="T91" r:id="rId180" xr:uid="{00000000-0004-0000-0000-0000B3000000}"/>
    <hyperlink ref="L92" r:id="rId181" xr:uid="{00000000-0004-0000-0000-0000B4000000}"/>
    <hyperlink ref="T92" r:id="rId182" xr:uid="{00000000-0004-0000-0000-0000B5000000}"/>
    <hyperlink ref="L93" r:id="rId183" xr:uid="{00000000-0004-0000-0000-0000B6000000}"/>
    <hyperlink ref="T93" r:id="rId184" xr:uid="{00000000-0004-0000-0000-0000B7000000}"/>
    <hyperlink ref="L94" r:id="rId185" xr:uid="{00000000-0004-0000-0000-0000B8000000}"/>
    <hyperlink ref="T94" r:id="rId186" xr:uid="{00000000-0004-0000-0000-0000B9000000}"/>
    <hyperlink ref="L95" r:id="rId187" xr:uid="{00000000-0004-0000-0000-0000BA000000}"/>
    <hyperlink ref="T95" r:id="rId188" xr:uid="{00000000-0004-0000-0000-0000BB000000}"/>
    <hyperlink ref="L96" r:id="rId189" xr:uid="{00000000-0004-0000-0000-0000BC000000}"/>
    <hyperlink ref="T96" r:id="rId190" xr:uid="{00000000-0004-0000-0000-0000BD000000}"/>
    <hyperlink ref="L97" r:id="rId191" xr:uid="{00000000-0004-0000-0000-0000BE000000}"/>
    <hyperlink ref="T97" r:id="rId192" xr:uid="{00000000-0004-0000-0000-0000BF000000}"/>
    <hyperlink ref="L98" r:id="rId193" xr:uid="{00000000-0004-0000-0000-0000C0000000}"/>
    <hyperlink ref="T98" r:id="rId194" xr:uid="{00000000-0004-0000-0000-0000C1000000}"/>
    <hyperlink ref="L99" r:id="rId195" xr:uid="{00000000-0004-0000-0000-0000C2000000}"/>
    <hyperlink ref="T99" r:id="rId196" xr:uid="{00000000-0004-0000-0000-0000C3000000}"/>
    <hyperlink ref="L100" r:id="rId197" xr:uid="{00000000-0004-0000-0000-0000C4000000}"/>
    <hyperlink ref="T100" r:id="rId198" xr:uid="{00000000-0004-0000-0000-0000C5000000}"/>
    <hyperlink ref="L101" r:id="rId199" xr:uid="{00000000-0004-0000-0000-0000C6000000}"/>
    <hyperlink ref="T101" r:id="rId200" xr:uid="{00000000-0004-0000-0000-0000C7000000}"/>
  </hyperlinks>
  <pageMargins left="0.7" right="0.7" top="0.75" bottom="0.75" header="0.3" footer="0.3"/>
  <legacyDrawing r:id="rId20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9.44140625" customWidth="1"/>
    <col min="2" max="2" width="42.21875" customWidth="1"/>
    <col min="3" max="3" width="27.6640625" customWidth="1"/>
    <col min="4" max="6" width="12.6640625" customWidth="1"/>
  </cols>
  <sheetData>
    <row r="1" spans="1:3" ht="108" customHeight="1" x14ac:dyDescent="0.25">
      <c r="A1" s="2" t="s">
        <v>1</v>
      </c>
      <c r="B1" s="2" t="s">
        <v>6</v>
      </c>
      <c r="C1" s="1" t="s">
        <v>8</v>
      </c>
    </row>
    <row r="2" spans="1:3" ht="21" customHeight="1" x14ac:dyDescent="0.3">
      <c r="A2" s="4" t="s">
        <v>11</v>
      </c>
      <c r="B2" s="5" t="s">
        <v>13</v>
      </c>
      <c r="C2" s="6">
        <v>2</v>
      </c>
    </row>
    <row r="3" spans="1:3" ht="21" customHeight="1" x14ac:dyDescent="0.3">
      <c r="A3" s="4" t="s">
        <v>19</v>
      </c>
      <c r="B3" s="5" t="s">
        <v>21</v>
      </c>
      <c r="C3" s="6">
        <v>4</v>
      </c>
    </row>
    <row r="4" spans="1:3" ht="21" customHeight="1" x14ac:dyDescent="0.3">
      <c r="A4" s="4" t="s">
        <v>24</v>
      </c>
      <c r="B4" s="5" t="s">
        <v>26</v>
      </c>
      <c r="C4" s="6">
        <v>3</v>
      </c>
    </row>
    <row r="5" spans="1:3" ht="21" customHeight="1" x14ac:dyDescent="0.3">
      <c r="A5" s="4" t="s">
        <v>29</v>
      </c>
      <c r="B5" s="5" t="s">
        <v>31</v>
      </c>
      <c r="C5" s="6">
        <v>2</v>
      </c>
    </row>
    <row r="6" spans="1:3" ht="21" customHeight="1" x14ac:dyDescent="0.3">
      <c r="A6" s="4" t="s">
        <v>35</v>
      </c>
      <c r="B6" s="5" t="s">
        <v>37</v>
      </c>
      <c r="C6" s="6">
        <v>4</v>
      </c>
    </row>
    <row r="7" spans="1:3" ht="21" customHeight="1" x14ac:dyDescent="0.3">
      <c r="A7" s="4" t="s">
        <v>40</v>
      </c>
      <c r="B7" s="5" t="s">
        <v>41</v>
      </c>
      <c r="C7" s="6">
        <v>2</v>
      </c>
    </row>
    <row r="8" spans="1:3" ht="21" customHeight="1" x14ac:dyDescent="0.3">
      <c r="A8" s="4" t="s">
        <v>45</v>
      </c>
      <c r="B8" s="5" t="s">
        <v>46</v>
      </c>
      <c r="C8" s="6">
        <v>4</v>
      </c>
    </row>
    <row r="9" spans="1:3" ht="21" customHeight="1" x14ac:dyDescent="0.3">
      <c r="A9" s="7" t="s">
        <v>47</v>
      </c>
      <c r="B9" s="5" t="s">
        <v>48</v>
      </c>
      <c r="C9" s="6">
        <v>2</v>
      </c>
    </row>
    <row r="10" spans="1:3" ht="21" customHeight="1" x14ac:dyDescent="0.3">
      <c r="A10" s="7" t="s">
        <v>49</v>
      </c>
      <c r="B10" s="5" t="s">
        <v>50</v>
      </c>
      <c r="C10" s="6">
        <v>1</v>
      </c>
    </row>
    <row r="11" spans="1:3" ht="21" customHeight="1" x14ac:dyDescent="0.3">
      <c r="A11" s="4" t="s">
        <v>51</v>
      </c>
      <c r="B11" s="5" t="s">
        <v>52</v>
      </c>
      <c r="C11" s="6">
        <v>2</v>
      </c>
    </row>
    <row r="12" spans="1:3" ht="21" customHeight="1" x14ac:dyDescent="0.3">
      <c r="A12" s="4" t="s">
        <v>53</v>
      </c>
      <c r="B12" s="5" t="s">
        <v>54</v>
      </c>
      <c r="C12" s="6">
        <v>2</v>
      </c>
    </row>
    <row r="13" spans="1:3" ht="21" customHeight="1" x14ac:dyDescent="0.3">
      <c r="A13" s="4" t="s">
        <v>55</v>
      </c>
      <c r="B13" s="5" t="s">
        <v>56</v>
      </c>
      <c r="C13" s="6">
        <v>2</v>
      </c>
    </row>
    <row r="14" spans="1:3" ht="21" customHeight="1" x14ac:dyDescent="0.3">
      <c r="A14" s="4" t="s">
        <v>57</v>
      </c>
      <c r="B14" s="5" t="s">
        <v>58</v>
      </c>
      <c r="C14" s="6">
        <v>2</v>
      </c>
    </row>
    <row r="15" spans="1:3" ht="21" customHeight="1" x14ac:dyDescent="0.3">
      <c r="A15" s="4" t="s">
        <v>59</v>
      </c>
      <c r="B15" s="5" t="s">
        <v>60</v>
      </c>
      <c r="C15" s="6">
        <v>2</v>
      </c>
    </row>
    <row r="16" spans="1:3" ht="21" customHeight="1" x14ac:dyDescent="0.3">
      <c r="A16" s="4" t="s">
        <v>61</v>
      </c>
      <c r="B16" s="5" t="s">
        <v>62</v>
      </c>
      <c r="C16" s="6">
        <v>2</v>
      </c>
    </row>
    <row r="17" spans="1:3" ht="21" customHeight="1" x14ac:dyDescent="0.3">
      <c r="A17" s="4" t="s">
        <v>64</v>
      </c>
      <c r="B17" s="5" t="s">
        <v>65</v>
      </c>
      <c r="C17" s="6">
        <v>2</v>
      </c>
    </row>
    <row r="18" spans="1:3" ht="21" customHeight="1" x14ac:dyDescent="0.3">
      <c r="A18" s="4" t="s">
        <v>66</v>
      </c>
      <c r="B18" s="5" t="s">
        <v>68</v>
      </c>
      <c r="C18" s="6">
        <v>2</v>
      </c>
    </row>
    <row r="19" spans="1:3" ht="21" customHeight="1" x14ac:dyDescent="0.3">
      <c r="A19" s="4" t="s">
        <v>69</v>
      </c>
      <c r="B19" s="5" t="s">
        <v>70</v>
      </c>
      <c r="C19" s="6">
        <v>2</v>
      </c>
    </row>
    <row r="20" spans="1:3" ht="21" customHeight="1" x14ac:dyDescent="0.3">
      <c r="A20" s="4" t="s">
        <v>73</v>
      </c>
      <c r="B20" s="5" t="s">
        <v>74</v>
      </c>
      <c r="C20" s="6">
        <v>3</v>
      </c>
    </row>
    <row r="21" spans="1:3" ht="21" customHeight="1" x14ac:dyDescent="0.3">
      <c r="A21" s="4" t="s">
        <v>75</v>
      </c>
      <c r="B21" s="5" t="s">
        <v>76</v>
      </c>
      <c r="C21" s="6">
        <v>1</v>
      </c>
    </row>
    <row r="22" spans="1:3" ht="21" customHeight="1" x14ac:dyDescent="0.3">
      <c r="A22" s="13" t="s">
        <v>79</v>
      </c>
      <c r="B22" s="5" t="s">
        <v>80</v>
      </c>
      <c r="C22" s="6">
        <v>2</v>
      </c>
    </row>
    <row r="23" spans="1:3" ht="21" customHeight="1" x14ac:dyDescent="0.3">
      <c r="A23" s="13" t="s">
        <v>86</v>
      </c>
      <c r="B23" s="5" t="s">
        <v>87</v>
      </c>
      <c r="C23" s="6">
        <v>2</v>
      </c>
    </row>
    <row r="24" spans="1:3" ht="21" customHeight="1" x14ac:dyDescent="0.3">
      <c r="A24" s="13" t="s">
        <v>88</v>
      </c>
      <c r="B24" s="5" t="s">
        <v>89</v>
      </c>
      <c r="C24" s="6">
        <v>3</v>
      </c>
    </row>
    <row r="25" spans="1:3" ht="21" customHeight="1" x14ac:dyDescent="0.3">
      <c r="A25" s="4" t="s">
        <v>90</v>
      </c>
      <c r="B25" s="5" t="s">
        <v>91</v>
      </c>
      <c r="C25" s="6">
        <v>4</v>
      </c>
    </row>
    <row r="26" spans="1:3" ht="21" customHeight="1" x14ac:dyDescent="0.3">
      <c r="A26" s="4" t="s">
        <v>92</v>
      </c>
      <c r="B26" s="5" t="s">
        <v>93</v>
      </c>
      <c r="C26" s="6">
        <v>2</v>
      </c>
    </row>
    <row r="27" spans="1:3" ht="21" customHeight="1" x14ac:dyDescent="0.3">
      <c r="A27" s="4" t="s">
        <v>95</v>
      </c>
      <c r="B27" s="5" t="s">
        <v>96</v>
      </c>
      <c r="C27" s="6">
        <v>2</v>
      </c>
    </row>
    <row r="28" spans="1:3" ht="21" customHeight="1" x14ac:dyDescent="0.3">
      <c r="A28" s="4" t="s">
        <v>99</v>
      </c>
      <c r="B28" s="5" t="s">
        <v>100</v>
      </c>
      <c r="C28" s="6">
        <v>3</v>
      </c>
    </row>
    <row r="29" spans="1:3" ht="21" customHeight="1" x14ac:dyDescent="0.3">
      <c r="A29" s="4" t="s">
        <v>101</v>
      </c>
      <c r="B29" s="5" t="s">
        <v>102</v>
      </c>
      <c r="C29" s="6">
        <v>1</v>
      </c>
    </row>
    <row r="30" spans="1:3" ht="21" customHeight="1" x14ac:dyDescent="0.3">
      <c r="A30" s="4" t="s">
        <v>105</v>
      </c>
      <c r="B30" s="5" t="s">
        <v>106</v>
      </c>
      <c r="C30" s="6">
        <v>1</v>
      </c>
    </row>
    <row r="31" spans="1:3" ht="21" customHeight="1" x14ac:dyDescent="0.3">
      <c r="A31" s="15"/>
      <c r="B31" s="4"/>
      <c r="C31" s="6"/>
    </row>
    <row r="32" spans="1:3" ht="21" customHeight="1" x14ac:dyDescent="0.3">
      <c r="A32" s="15"/>
      <c r="B32" s="4"/>
      <c r="C32" s="6"/>
    </row>
    <row r="33" spans="1:3" ht="21" customHeight="1" x14ac:dyDescent="0.3">
      <c r="A33" s="15"/>
      <c r="B33" s="17"/>
      <c r="C33" s="6"/>
    </row>
    <row r="34" spans="1:3" ht="21" customHeight="1" x14ac:dyDescent="0.3">
      <c r="A34" s="15"/>
      <c r="B34" s="17"/>
      <c r="C34" s="18"/>
    </row>
    <row r="35" spans="1:3" ht="21" customHeight="1" x14ac:dyDescent="0.3">
      <c r="A35" s="15"/>
      <c r="B35" s="17"/>
      <c r="C35" s="18"/>
    </row>
    <row r="36" spans="1:3" ht="21" customHeight="1" x14ac:dyDescent="0.3">
      <c r="A36" s="15"/>
      <c r="B36" s="17"/>
      <c r="C36" s="18"/>
    </row>
    <row r="37" spans="1:3" ht="21" customHeight="1" x14ac:dyDescent="0.3">
      <c r="A37" s="15"/>
      <c r="B37" s="17"/>
      <c r="C37" s="18"/>
    </row>
    <row r="38" spans="1:3" ht="21" customHeight="1" x14ac:dyDescent="0.3">
      <c r="A38" s="4"/>
      <c r="B38" s="17"/>
      <c r="C38" s="18"/>
    </row>
    <row r="39" spans="1:3" ht="21" customHeight="1" x14ac:dyDescent="0.3">
      <c r="A39" s="4"/>
      <c r="B39" s="17"/>
      <c r="C39" s="18"/>
    </row>
    <row r="40" spans="1:3" ht="21" customHeight="1" x14ac:dyDescent="0.3">
      <c r="A40" s="4"/>
      <c r="B40" s="17"/>
      <c r="C40" s="18"/>
    </row>
    <row r="41" spans="1:3" ht="21" customHeight="1" x14ac:dyDescent="0.3">
      <c r="A41" s="4"/>
      <c r="B41" s="17"/>
      <c r="C41" s="18"/>
    </row>
    <row r="42" spans="1:3" ht="21" customHeight="1" x14ac:dyDescent="0.3">
      <c r="A42" s="4"/>
      <c r="B42" s="17"/>
      <c r="C42" s="18"/>
    </row>
    <row r="43" spans="1:3" ht="21" customHeight="1" x14ac:dyDescent="0.3">
      <c r="A43" s="4"/>
      <c r="B43" s="17"/>
      <c r="C43" s="18"/>
    </row>
    <row r="44" spans="1:3" ht="21" customHeight="1" x14ac:dyDescent="0.3">
      <c r="A44" s="4"/>
      <c r="B44" s="17"/>
      <c r="C44" s="18"/>
    </row>
    <row r="45" spans="1:3" ht="21" customHeight="1" x14ac:dyDescent="0.3">
      <c r="A45" s="4"/>
      <c r="B45" s="17"/>
      <c r="C45" s="18"/>
    </row>
    <row r="46" spans="1:3" ht="21" customHeight="1" x14ac:dyDescent="0.3">
      <c r="A46" s="4"/>
      <c r="B46" s="17"/>
      <c r="C46" s="18"/>
    </row>
    <row r="47" spans="1:3" ht="21" customHeight="1" x14ac:dyDescent="0.3">
      <c r="A47" s="4"/>
      <c r="B47" s="17"/>
      <c r="C47" s="18"/>
    </row>
    <row r="48" spans="1:3" ht="21" customHeight="1" x14ac:dyDescent="0.3">
      <c r="A48" s="4"/>
      <c r="B48" s="17"/>
      <c r="C48" s="18"/>
    </row>
    <row r="49" spans="1:3" ht="21" customHeight="1" x14ac:dyDescent="0.3">
      <c r="A49" s="4"/>
      <c r="B49" s="17"/>
      <c r="C49" s="18"/>
    </row>
    <row r="50" spans="1:3" ht="21" customHeight="1" x14ac:dyDescent="0.3">
      <c r="A50" s="4"/>
      <c r="B50" s="17"/>
      <c r="C50" s="18"/>
    </row>
    <row r="51" spans="1:3" ht="21" customHeight="1" x14ac:dyDescent="0.3">
      <c r="A51" s="4"/>
      <c r="B51" s="17"/>
      <c r="C51" s="18"/>
    </row>
    <row r="52" spans="1:3" ht="21" customHeight="1" x14ac:dyDescent="0.3">
      <c r="A52" s="4"/>
      <c r="B52" s="17"/>
      <c r="C52" s="18"/>
    </row>
    <row r="53" spans="1:3" ht="21" customHeight="1" x14ac:dyDescent="0.3">
      <c r="A53" s="4"/>
      <c r="B53" s="17"/>
      <c r="C53" s="18"/>
    </row>
    <row r="54" spans="1:3" ht="21" customHeight="1" x14ac:dyDescent="0.3">
      <c r="A54" s="4"/>
      <c r="B54" s="17"/>
      <c r="C54" s="18"/>
    </row>
    <row r="55" spans="1:3" ht="21" customHeight="1" x14ac:dyDescent="0.3">
      <c r="A55" s="4"/>
      <c r="B55" s="17"/>
      <c r="C55" s="18"/>
    </row>
    <row r="56" spans="1:3" ht="21" customHeight="1" x14ac:dyDescent="0.3">
      <c r="A56" s="4"/>
      <c r="B56" s="17"/>
      <c r="C56" s="18"/>
    </row>
    <row r="57" spans="1:3" ht="21" customHeight="1" x14ac:dyDescent="0.3">
      <c r="A57" s="4"/>
      <c r="B57" s="17"/>
      <c r="C57" s="18"/>
    </row>
    <row r="58" spans="1:3" ht="21" customHeight="1" x14ac:dyDescent="0.3">
      <c r="A58" s="4"/>
      <c r="B58" s="17"/>
      <c r="C58" s="18"/>
    </row>
    <row r="59" spans="1:3" ht="21" customHeight="1" x14ac:dyDescent="0.3">
      <c r="A59" s="4"/>
      <c r="B59" s="17"/>
      <c r="C59" s="18"/>
    </row>
    <row r="60" spans="1:3" ht="21" customHeight="1" x14ac:dyDescent="0.3">
      <c r="A60" s="4"/>
      <c r="B60" s="17"/>
      <c r="C60" s="18"/>
    </row>
    <row r="61" spans="1:3" ht="21" customHeight="1" x14ac:dyDescent="0.3">
      <c r="A61" s="10"/>
      <c r="B61" s="17"/>
      <c r="C61" s="18"/>
    </row>
    <row r="62" spans="1:3" ht="21" customHeight="1" x14ac:dyDescent="0.3">
      <c r="A62" s="10"/>
      <c r="B62" s="17"/>
      <c r="C62" s="18"/>
    </row>
    <row r="63" spans="1:3" ht="21" customHeight="1" x14ac:dyDescent="0.3">
      <c r="A63" s="4"/>
      <c r="B63" s="17"/>
      <c r="C63" s="18"/>
    </row>
    <row r="64" spans="1:3" ht="21" customHeight="1" x14ac:dyDescent="0.3">
      <c r="A64" s="4"/>
      <c r="B64" s="17"/>
      <c r="C64" s="18"/>
    </row>
    <row r="65" spans="1:3" ht="21" customHeight="1" x14ac:dyDescent="0.3">
      <c r="A65" s="4"/>
      <c r="B65" s="17"/>
      <c r="C65" s="18"/>
    </row>
    <row r="66" spans="1:3" ht="21" customHeight="1" x14ac:dyDescent="0.3">
      <c r="A66" s="4"/>
      <c r="B66" s="17"/>
      <c r="C66" s="18"/>
    </row>
    <row r="67" spans="1:3" ht="21" customHeight="1" x14ac:dyDescent="0.3">
      <c r="A67" s="4"/>
      <c r="B67" s="17"/>
      <c r="C67" s="18"/>
    </row>
    <row r="68" spans="1:3" ht="21" customHeight="1" x14ac:dyDescent="0.3">
      <c r="A68" s="4"/>
      <c r="B68" s="17"/>
      <c r="C68" s="18"/>
    </row>
    <row r="69" spans="1:3" ht="21" customHeight="1" x14ac:dyDescent="0.3">
      <c r="A69" s="10"/>
      <c r="B69" s="17"/>
      <c r="C69" s="18"/>
    </row>
    <row r="70" spans="1:3" ht="21" customHeight="1" x14ac:dyDescent="0.3">
      <c r="A70" s="4"/>
      <c r="B70" s="17"/>
      <c r="C70" s="18"/>
    </row>
    <row r="71" spans="1:3" ht="21" customHeight="1" x14ac:dyDescent="0.3">
      <c r="A71" s="4"/>
      <c r="B71" s="17"/>
      <c r="C71" s="18"/>
    </row>
    <row r="72" spans="1:3" ht="21" customHeight="1" x14ac:dyDescent="0.3">
      <c r="A72" s="4"/>
      <c r="B72" s="17"/>
      <c r="C72" s="18"/>
    </row>
    <row r="73" spans="1:3" ht="21" customHeight="1" x14ac:dyDescent="0.3">
      <c r="A73" s="4"/>
      <c r="B73" s="17"/>
      <c r="C73" s="18"/>
    </row>
    <row r="74" spans="1:3" ht="21" customHeight="1" x14ac:dyDescent="0.3">
      <c r="A74" s="4"/>
      <c r="B74" s="17"/>
      <c r="C74" s="18"/>
    </row>
    <row r="75" spans="1:3" ht="21" customHeight="1" x14ac:dyDescent="0.3">
      <c r="A75" s="4"/>
      <c r="B75" s="17"/>
      <c r="C75" s="18"/>
    </row>
    <row r="76" spans="1:3" ht="21" customHeight="1" x14ac:dyDescent="0.3">
      <c r="A76" s="4"/>
      <c r="B76" s="17"/>
      <c r="C76" s="18"/>
    </row>
    <row r="77" spans="1:3" ht="21" customHeight="1" x14ac:dyDescent="0.3">
      <c r="A77" s="4"/>
      <c r="B77" s="17"/>
      <c r="C77" s="18"/>
    </row>
    <row r="78" spans="1:3" ht="21" customHeight="1" x14ac:dyDescent="0.3">
      <c r="A78" s="4"/>
      <c r="B78" s="17"/>
      <c r="C78" s="18"/>
    </row>
    <row r="79" spans="1:3" ht="21" customHeight="1" x14ac:dyDescent="0.3">
      <c r="A79" s="4"/>
      <c r="B79" s="17"/>
      <c r="C79" s="18"/>
    </row>
    <row r="80" spans="1:3" ht="21" customHeight="1" x14ac:dyDescent="0.3">
      <c r="A80" s="4"/>
      <c r="B80" s="17"/>
      <c r="C80" s="18"/>
    </row>
    <row r="81" spans="1:3" ht="21" customHeight="1" x14ac:dyDescent="0.3">
      <c r="A81" s="4"/>
      <c r="B81" s="17"/>
      <c r="C81" s="18"/>
    </row>
    <row r="82" spans="1:3" ht="21" customHeight="1" x14ac:dyDescent="0.3">
      <c r="A82" s="4"/>
      <c r="B82" s="17"/>
      <c r="C82" s="18"/>
    </row>
    <row r="83" spans="1:3" ht="21" customHeight="1" x14ac:dyDescent="0.3">
      <c r="A83" s="4"/>
      <c r="B83" s="17"/>
      <c r="C83" s="18"/>
    </row>
    <row r="84" spans="1:3" ht="21" customHeight="1" x14ac:dyDescent="0.3">
      <c r="A84" s="4"/>
      <c r="B84" s="17"/>
      <c r="C84" s="18"/>
    </row>
    <row r="85" spans="1:3" ht="21" customHeight="1" x14ac:dyDescent="0.3">
      <c r="A85" s="4"/>
      <c r="B85" s="17"/>
      <c r="C85" s="18"/>
    </row>
    <row r="86" spans="1:3" ht="21" customHeight="1" x14ac:dyDescent="0.3">
      <c r="A86" s="4"/>
      <c r="B86" s="17"/>
      <c r="C86" s="18"/>
    </row>
    <row r="87" spans="1:3" ht="21" customHeight="1" x14ac:dyDescent="0.3">
      <c r="A87" s="4"/>
      <c r="B87" s="17"/>
      <c r="C87" s="18"/>
    </row>
    <row r="88" spans="1:3" ht="21" customHeight="1" x14ac:dyDescent="0.3">
      <c r="A88" s="4"/>
      <c r="B88" s="17"/>
      <c r="C88" s="18"/>
    </row>
    <row r="89" spans="1:3" ht="21" customHeight="1" x14ac:dyDescent="0.3">
      <c r="A89" s="4"/>
      <c r="B89" s="17"/>
      <c r="C89" s="18"/>
    </row>
    <row r="90" spans="1:3" ht="21" customHeight="1" x14ac:dyDescent="0.3">
      <c r="A90" s="4"/>
      <c r="B90" s="17"/>
      <c r="C90" s="18"/>
    </row>
    <row r="91" spans="1:3" ht="21" customHeight="1" x14ac:dyDescent="0.3">
      <c r="A91" s="4"/>
      <c r="B91" s="17"/>
      <c r="C91" s="18"/>
    </row>
    <row r="92" spans="1:3" ht="21" customHeight="1" x14ac:dyDescent="0.3">
      <c r="A92" s="4"/>
      <c r="B92" s="17"/>
      <c r="C92" s="18"/>
    </row>
    <row r="93" spans="1:3" ht="21" customHeight="1" x14ac:dyDescent="0.3">
      <c r="A93" s="4"/>
      <c r="B93" s="17"/>
      <c r="C93" s="18"/>
    </row>
    <row r="94" spans="1:3" ht="21" customHeight="1" x14ac:dyDescent="0.3">
      <c r="A94" s="4"/>
      <c r="B94" s="17"/>
      <c r="C94" s="18"/>
    </row>
    <row r="95" spans="1:3" ht="21" customHeight="1" x14ac:dyDescent="0.3">
      <c r="A95" s="4"/>
      <c r="B95" s="17"/>
      <c r="C95" s="18"/>
    </row>
    <row r="96" spans="1:3" ht="21" customHeight="1" x14ac:dyDescent="0.3">
      <c r="A96" s="4"/>
      <c r="B96" s="17"/>
      <c r="C96" s="18"/>
    </row>
    <row r="97" spans="1:3" ht="21" customHeight="1" x14ac:dyDescent="0.3">
      <c r="A97" s="4"/>
      <c r="B97" s="17"/>
      <c r="C97" s="18"/>
    </row>
    <row r="98" spans="1:3" ht="21" customHeight="1" x14ac:dyDescent="0.3">
      <c r="A98" s="4"/>
      <c r="B98" s="17"/>
      <c r="C98" s="18"/>
    </row>
    <row r="99" spans="1:3" ht="21" customHeight="1" x14ac:dyDescent="0.3">
      <c r="A99" s="13"/>
      <c r="B99" s="17"/>
      <c r="C99" s="18"/>
    </row>
    <row r="100" spans="1:3" ht="21" customHeight="1" x14ac:dyDescent="0.3">
      <c r="A100" s="4"/>
      <c r="B100" s="17"/>
      <c r="C100" s="18"/>
    </row>
    <row r="101" spans="1:3" ht="21" customHeight="1" x14ac:dyDescent="0.3">
      <c r="A101" s="7"/>
      <c r="B101" s="17"/>
      <c r="C101" s="18"/>
    </row>
    <row r="102" spans="1:3" ht="21" customHeight="1" x14ac:dyDescent="0.3">
      <c r="A102" s="7"/>
      <c r="B102" s="17"/>
      <c r="C102" s="18"/>
    </row>
    <row r="103" spans="1:3" ht="21" customHeight="1" x14ac:dyDescent="0.3">
      <c r="A103" s="4"/>
      <c r="B103" s="17"/>
      <c r="C103" s="18"/>
    </row>
    <row r="104" spans="1:3" ht="21" customHeight="1" x14ac:dyDescent="0.3">
      <c r="A104" s="4"/>
      <c r="B104" s="17"/>
      <c r="C104" s="18"/>
    </row>
    <row r="105" spans="1:3" ht="21" customHeight="1" x14ac:dyDescent="0.3">
      <c r="A105" s="4"/>
      <c r="B105" s="17"/>
      <c r="C105" s="18"/>
    </row>
    <row r="106" spans="1:3" ht="21" customHeight="1" x14ac:dyDescent="0.3">
      <c r="A106" s="4"/>
      <c r="B106" s="17"/>
      <c r="C106" s="18"/>
    </row>
    <row r="107" spans="1:3" ht="21" customHeight="1" x14ac:dyDescent="0.3">
      <c r="A107" s="7"/>
      <c r="B107" s="17"/>
      <c r="C107" s="18"/>
    </row>
    <row r="108" spans="1:3" ht="21" customHeight="1" x14ac:dyDescent="0.3">
      <c r="A108" s="4"/>
      <c r="B108" s="17"/>
      <c r="C108" s="18"/>
    </row>
    <row r="109" spans="1:3" ht="21" customHeight="1" x14ac:dyDescent="0.3">
      <c r="A109" s="7"/>
      <c r="B109" s="17"/>
      <c r="C109" s="18"/>
    </row>
    <row r="110" spans="1:3" ht="21" customHeight="1" x14ac:dyDescent="0.3">
      <c r="A110" s="4"/>
      <c r="B110" s="17"/>
      <c r="C110" s="18"/>
    </row>
    <row r="111" spans="1:3" ht="21" customHeight="1" x14ac:dyDescent="0.3">
      <c r="A111" s="4"/>
      <c r="B111" s="17"/>
      <c r="C111" s="18"/>
    </row>
    <row r="112" spans="1:3" ht="21" customHeight="1" x14ac:dyDescent="0.3">
      <c r="A112" s="4"/>
      <c r="B112" s="17"/>
      <c r="C112" s="18"/>
    </row>
    <row r="113" spans="1:3" ht="21" customHeight="1" x14ac:dyDescent="0.3">
      <c r="A113" s="4"/>
      <c r="B113" s="17"/>
      <c r="C113" s="18"/>
    </row>
    <row r="114" spans="1:3" ht="21" customHeight="1" x14ac:dyDescent="0.3">
      <c r="A114" s="4"/>
      <c r="B114" s="17"/>
      <c r="C114" s="18"/>
    </row>
    <row r="115" spans="1:3" ht="21" customHeight="1" x14ac:dyDescent="0.3">
      <c r="A115" s="4"/>
      <c r="B115" s="17"/>
      <c r="C115" s="18"/>
    </row>
    <row r="116" spans="1:3" ht="21" customHeight="1" x14ac:dyDescent="0.3">
      <c r="A116" s="4"/>
      <c r="B116" s="17"/>
      <c r="C116" s="18"/>
    </row>
    <row r="117" spans="1:3" ht="21" customHeight="1" x14ac:dyDescent="0.3">
      <c r="A117" s="4"/>
      <c r="B117" s="17"/>
      <c r="C117" s="18"/>
    </row>
    <row r="118" spans="1:3" ht="21" customHeight="1" x14ac:dyDescent="0.3">
      <c r="A118" s="4"/>
      <c r="B118" s="17"/>
      <c r="C118" s="18"/>
    </row>
    <row r="119" spans="1:3" ht="21" customHeight="1" x14ac:dyDescent="0.3">
      <c r="A119" s="4"/>
      <c r="B119" s="17"/>
      <c r="C119" s="18"/>
    </row>
    <row r="120" spans="1:3" ht="21" customHeight="1" x14ac:dyDescent="0.3">
      <c r="A120" s="4"/>
      <c r="B120" s="17"/>
      <c r="C120" s="18"/>
    </row>
    <row r="121" spans="1:3" ht="21" customHeight="1" x14ac:dyDescent="0.3">
      <c r="A121" s="4"/>
      <c r="B121" s="17"/>
      <c r="C121" s="18"/>
    </row>
    <row r="122" spans="1:3" ht="21" customHeight="1" x14ac:dyDescent="0.3">
      <c r="A122" s="4"/>
      <c r="B122" s="17"/>
      <c r="C122" s="18"/>
    </row>
    <row r="123" spans="1:3" ht="21" customHeight="1" x14ac:dyDescent="0.3">
      <c r="A123" s="4"/>
      <c r="B123" s="17"/>
      <c r="C123" s="18"/>
    </row>
    <row r="124" spans="1:3" ht="21" customHeight="1" x14ac:dyDescent="0.3">
      <c r="A124" s="4"/>
      <c r="B124" s="17"/>
      <c r="C124" s="18"/>
    </row>
    <row r="125" spans="1:3" ht="21" customHeight="1" x14ac:dyDescent="0.3">
      <c r="A125" s="4"/>
      <c r="B125" s="17"/>
      <c r="C125" s="18"/>
    </row>
    <row r="126" spans="1:3" ht="21" customHeight="1" x14ac:dyDescent="0.3">
      <c r="A126" s="4"/>
      <c r="B126" s="17"/>
      <c r="C126" s="18"/>
    </row>
    <row r="127" spans="1:3" ht="21" customHeight="1" x14ac:dyDescent="0.3">
      <c r="A127" s="4"/>
      <c r="B127" s="17"/>
      <c r="C127" s="18"/>
    </row>
    <row r="128" spans="1:3" ht="21" customHeight="1" x14ac:dyDescent="0.3">
      <c r="A128" s="4"/>
      <c r="B128" s="17"/>
      <c r="C128" s="18"/>
    </row>
    <row r="129" spans="1:3" ht="21" customHeight="1" x14ac:dyDescent="0.3">
      <c r="A129" s="4"/>
      <c r="B129" s="17"/>
      <c r="C129" s="18"/>
    </row>
    <row r="130" spans="1:3" ht="21" customHeight="1" x14ac:dyDescent="0.3">
      <c r="A130" s="7"/>
      <c r="B130" s="17"/>
      <c r="C130" s="18"/>
    </row>
    <row r="131" spans="1:3" ht="21" customHeight="1" x14ac:dyDescent="0.3">
      <c r="A131" s="7"/>
      <c r="B131" s="17"/>
      <c r="C131" s="18"/>
    </row>
    <row r="132" spans="1:3" ht="21" customHeight="1" x14ac:dyDescent="0.3">
      <c r="A132" s="7"/>
      <c r="B132" s="17"/>
      <c r="C132" s="18"/>
    </row>
    <row r="133" spans="1:3" ht="21" customHeight="1" x14ac:dyDescent="0.3">
      <c r="A133" s="7"/>
      <c r="B133" s="17"/>
      <c r="C133" s="18"/>
    </row>
    <row r="134" spans="1:3" ht="21" customHeight="1" x14ac:dyDescent="0.3">
      <c r="A134" s="7"/>
      <c r="B134" s="17"/>
      <c r="C134" s="18"/>
    </row>
    <row r="135" spans="1:3" ht="21" customHeight="1" x14ac:dyDescent="0.3">
      <c r="A135" s="7"/>
      <c r="B135" s="17"/>
      <c r="C135" s="18"/>
    </row>
    <row r="136" spans="1:3" ht="21" customHeight="1" x14ac:dyDescent="0.3">
      <c r="A136" s="7"/>
      <c r="B136" s="17"/>
      <c r="C136" s="18"/>
    </row>
    <row r="137" spans="1:3" ht="21" customHeight="1" x14ac:dyDescent="0.3">
      <c r="A137" s="7"/>
      <c r="B137" s="17"/>
      <c r="C137" s="18"/>
    </row>
    <row r="138" spans="1:3" ht="21" customHeight="1" x14ac:dyDescent="0.3">
      <c r="A138" s="15"/>
      <c r="B138" s="17"/>
      <c r="C138" s="18"/>
    </row>
    <row r="139" spans="1:3" ht="21" customHeight="1" x14ac:dyDescent="0.3">
      <c r="A139" s="15"/>
      <c r="B139" s="17"/>
      <c r="C139" s="18"/>
    </row>
    <row r="140" spans="1:3" ht="21" customHeight="1" x14ac:dyDescent="0.3">
      <c r="A140" s="15"/>
      <c r="B140" s="17"/>
      <c r="C140" s="18"/>
    </row>
    <row r="141" spans="1:3" ht="21" customHeight="1" x14ac:dyDescent="0.3">
      <c r="A141" s="15"/>
      <c r="B141" s="17"/>
      <c r="C141" s="18"/>
    </row>
    <row r="142" spans="1:3" ht="21" customHeight="1" x14ac:dyDescent="0.3">
      <c r="A142" s="15"/>
      <c r="B142" s="17"/>
      <c r="C142" s="18"/>
    </row>
    <row r="143" spans="1:3" ht="21" customHeight="1" x14ac:dyDescent="0.3">
      <c r="A143" s="15"/>
      <c r="B143" s="17"/>
      <c r="C143" s="18"/>
    </row>
    <row r="144" spans="1:3" ht="21" customHeight="1" x14ac:dyDescent="0.3">
      <c r="A144" s="15"/>
      <c r="B144" s="17"/>
      <c r="C144" s="18"/>
    </row>
    <row r="145" spans="1:3" ht="21" customHeight="1" x14ac:dyDescent="0.3">
      <c r="A145" s="15"/>
      <c r="B145" s="17"/>
      <c r="C145" s="18"/>
    </row>
    <row r="146" spans="1:3" ht="21" customHeight="1" x14ac:dyDescent="0.3">
      <c r="A146" s="15"/>
      <c r="B146" s="17"/>
      <c r="C146" s="18"/>
    </row>
    <row r="147" spans="1:3" ht="21" customHeight="1" x14ac:dyDescent="0.3">
      <c r="A147" s="15"/>
      <c r="B147" s="17"/>
      <c r="C147" s="18"/>
    </row>
    <row r="148" spans="1:3" ht="21" customHeight="1" x14ac:dyDescent="0.3">
      <c r="A148" s="15"/>
      <c r="B148" s="17"/>
      <c r="C148" s="18"/>
    </row>
    <row r="149" spans="1:3" ht="21" customHeight="1" x14ac:dyDescent="0.3">
      <c r="A149" s="15"/>
      <c r="B149" s="17"/>
      <c r="C149" s="18"/>
    </row>
    <row r="150" spans="1:3" ht="21" customHeight="1" x14ac:dyDescent="0.3">
      <c r="A150" s="15"/>
      <c r="B150" s="17"/>
      <c r="C150" s="18"/>
    </row>
    <row r="151" spans="1:3" ht="21" customHeight="1" x14ac:dyDescent="0.3">
      <c r="A151" s="15"/>
      <c r="B151" s="17"/>
      <c r="C151" s="18"/>
    </row>
    <row r="152" spans="1:3" ht="21" customHeight="1" x14ac:dyDescent="0.3">
      <c r="A152" s="15"/>
      <c r="B152" s="17"/>
      <c r="C152" s="18"/>
    </row>
    <row r="153" spans="1:3" ht="21" customHeight="1" x14ac:dyDescent="0.3">
      <c r="A153" s="15"/>
      <c r="B153" s="17"/>
      <c r="C153" s="18"/>
    </row>
    <row r="154" spans="1:3" ht="21" customHeight="1" x14ac:dyDescent="0.3">
      <c r="A154" s="15"/>
      <c r="B154" s="17"/>
      <c r="C154" s="18"/>
    </row>
    <row r="155" spans="1:3" ht="21" customHeight="1" x14ac:dyDescent="0.3">
      <c r="A155" s="15"/>
      <c r="B155" s="17"/>
      <c r="C155" s="18"/>
    </row>
    <row r="156" spans="1:3" ht="21" customHeight="1" x14ac:dyDescent="0.3">
      <c r="A156" s="15"/>
      <c r="B156" s="17"/>
      <c r="C156" s="18"/>
    </row>
    <row r="157" spans="1:3" ht="21" customHeight="1" x14ac:dyDescent="0.3">
      <c r="A157" s="15"/>
      <c r="B157" s="17"/>
      <c r="C157" s="18"/>
    </row>
    <row r="158" spans="1:3" ht="21" customHeight="1" x14ac:dyDescent="0.3">
      <c r="A158" s="15"/>
      <c r="B158" s="17"/>
      <c r="C158" s="18"/>
    </row>
    <row r="159" spans="1:3" ht="21" customHeight="1" x14ac:dyDescent="0.3">
      <c r="A159" s="15"/>
      <c r="B159" s="17"/>
      <c r="C159" s="18"/>
    </row>
    <row r="160" spans="1:3" ht="21" customHeight="1" x14ac:dyDescent="0.3">
      <c r="A160" s="15"/>
      <c r="B160" s="17"/>
      <c r="C160" s="18"/>
    </row>
    <row r="161" spans="1:3" ht="21" customHeight="1" x14ac:dyDescent="0.3">
      <c r="A161" s="15"/>
      <c r="B161" s="17"/>
      <c r="C161" s="18"/>
    </row>
    <row r="162" spans="1:3" ht="21" customHeight="1" x14ac:dyDescent="0.3">
      <c r="A162" s="15"/>
      <c r="B162" s="17"/>
      <c r="C162" s="18"/>
    </row>
    <row r="163" spans="1:3" ht="21" customHeight="1" x14ac:dyDescent="0.3">
      <c r="A163" s="15"/>
      <c r="B163" s="17"/>
      <c r="C163" s="18"/>
    </row>
    <row r="164" spans="1:3" ht="21" customHeight="1" x14ac:dyDescent="0.3">
      <c r="A164" s="15"/>
      <c r="B164" s="17"/>
      <c r="C164" s="18"/>
    </row>
    <row r="165" spans="1:3" ht="21" customHeight="1" x14ac:dyDescent="0.3">
      <c r="A165" s="15"/>
      <c r="B165" s="17"/>
      <c r="C165" s="18"/>
    </row>
    <row r="166" spans="1:3" ht="21" customHeight="1" x14ac:dyDescent="0.3">
      <c r="A166" s="15"/>
      <c r="B166" s="17"/>
      <c r="C166" s="18"/>
    </row>
    <row r="167" spans="1:3" ht="21" customHeight="1" x14ac:dyDescent="0.3">
      <c r="A167" s="15"/>
      <c r="B167" s="17"/>
      <c r="C167" s="18"/>
    </row>
    <row r="168" spans="1:3" ht="21" customHeight="1" x14ac:dyDescent="0.3">
      <c r="A168" s="15"/>
      <c r="B168" s="17"/>
      <c r="C168" s="18"/>
    </row>
    <row r="169" spans="1:3" ht="21" customHeight="1" x14ac:dyDescent="0.3">
      <c r="A169" s="15"/>
      <c r="B169" s="17"/>
      <c r="C169" s="18"/>
    </row>
    <row r="170" spans="1:3" ht="21" customHeight="1" x14ac:dyDescent="0.3">
      <c r="A170" s="15"/>
      <c r="B170" s="17"/>
      <c r="C170" s="18"/>
    </row>
    <row r="171" spans="1:3" ht="21" customHeight="1" x14ac:dyDescent="0.3">
      <c r="A171" s="15"/>
      <c r="B171" s="17"/>
      <c r="C171" s="18"/>
    </row>
    <row r="172" spans="1:3" ht="21" customHeight="1" x14ac:dyDescent="0.3">
      <c r="A172" s="15"/>
      <c r="B172" s="17"/>
      <c r="C172" s="18"/>
    </row>
    <row r="173" spans="1:3" ht="21" customHeight="1" x14ac:dyDescent="0.3">
      <c r="A173" s="15"/>
      <c r="B173" s="17"/>
      <c r="C173" s="18"/>
    </row>
    <row r="174" spans="1:3" ht="21" customHeight="1" x14ac:dyDescent="0.3">
      <c r="A174" s="15"/>
      <c r="B174" s="17"/>
      <c r="C174" s="18"/>
    </row>
    <row r="175" spans="1:3" ht="21" customHeight="1" x14ac:dyDescent="0.3">
      <c r="A175" s="15"/>
      <c r="B175" s="17"/>
      <c r="C175" s="18"/>
    </row>
    <row r="176" spans="1:3" ht="21" customHeight="1" x14ac:dyDescent="0.3">
      <c r="A176" s="15"/>
      <c r="B176" s="17"/>
      <c r="C176" s="18"/>
    </row>
    <row r="177" spans="1:3" ht="21" customHeight="1" x14ac:dyDescent="0.3">
      <c r="A177" s="15"/>
      <c r="B177" s="17"/>
      <c r="C177" s="18"/>
    </row>
    <row r="178" spans="1:3" ht="21" customHeight="1" x14ac:dyDescent="0.3">
      <c r="A178" s="15"/>
      <c r="B178" s="17"/>
      <c r="C178" s="18"/>
    </row>
    <row r="179" spans="1:3" ht="21" customHeight="1" x14ac:dyDescent="0.3">
      <c r="A179" s="15"/>
      <c r="B179" s="17"/>
      <c r="C179" s="18"/>
    </row>
    <row r="180" spans="1:3" ht="21" customHeight="1" x14ac:dyDescent="0.3">
      <c r="A180" s="15"/>
      <c r="B180" s="17"/>
      <c r="C180" s="18"/>
    </row>
    <row r="181" spans="1:3" ht="21" customHeight="1" x14ac:dyDescent="0.3">
      <c r="A181" s="15"/>
      <c r="B181" s="17"/>
      <c r="C181" s="18"/>
    </row>
    <row r="182" spans="1:3" ht="21" customHeight="1" x14ac:dyDescent="0.3">
      <c r="A182" s="15"/>
      <c r="B182" s="17"/>
      <c r="C182" s="18"/>
    </row>
    <row r="183" spans="1:3" ht="21" customHeight="1" x14ac:dyDescent="0.3">
      <c r="A183" s="15"/>
      <c r="B183" s="17"/>
      <c r="C183" s="18"/>
    </row>
    <row r="184" spans="1:3" ht="21" customHeight="1" x14ac:dyDescent="0.3">
      <c r="A184" s="15"/>
      <c r="B184" s="17"/>
      <c r="C184" s="18"/>
    </row>
    <row r="185" spans="1:3" ht="21" customHeight="1" x14ac:dyDescent="0.3">
      <c r="A185" s="15"/>
      <c r="B185" s="17"/>
      <c r="C185" s="18"/>
    </row>
    <row r="186" spans="1:3" ht="21" customHeight="1" x14ac:dyDescent="0.3">
      <c r="A186" s="15"/>
      <c r="B186" s="17"/>
      <c r="C186" s="18"/>
    </row>
    <row r="187" spans="1:3" ht="21" customHeight="1" x14ac:dyDescent="0.3">
      <c r="A187" s="15"/>
      <c r="B187" s="17"/>
      <c r="C187" s="18"/>
    </row>
    <row r="188" spans="1:3" ht="21" customHeight="1" x14ac:dyDescent="0.3">
      <c r="A188" s="15"/>
      <c r="B188" s="17"/>
      <c r="C188" s="18"/>
    </row>
    <row r="189" spans="1:3" ht="21" customHeight="1" x14ac:dyDescent="0.3">
      <c r="A189" s="15"/>
      <c r="B189" s="17"/>
      <c r="C189" s="18"/>
    </row>
    <row r="190" spans="1:3" ht="21" customHeight="1" x14ac:dyDescent="0.3">
      <c r="A190" s="15"/>
      <c r="B190" s="17"/>
      <c r="C190" s="18"/>
    </row>
    <row r="191" spans="1:3" ht="21" customHeight="1" x14ac:dyDescent="0.3">
      <c r="A191" s="15"/>
      <c r="B191" s="17"/>
      <c r="C191" s="18"/>
    </row>
    <row r="192" spans="1:3" ht="21" customHeight="1" x14ac:dyDescent="0.3">
      <c r="A192" s="15"/>
      <c r="B192" s="17"/>
      <c r="C192" s="18"/>
    </row>
    <row r="193" spans="1:3" ht="21" customHeight="1" x14ac:dyDescent="0.3">
      <c r="A193" s="15"/>
      <c r="B193" s="17"/>
      <c r="C193" s="18"/>
    </row>
    <row r="194" spans="1:3" ht="21" customHeight="1" x14ac:dyDescent="0.3">
      <c r="A194" s="15"/>
      <c r="B194" s="17"/>
      <c r="C194" s="18"/>
    </row>
    <row r="195" spans="1:3" ht="21" customHeight="1" x14ac:dyDescent="0.3">
      <c r="A195" s="15"/>
      <c r="B195" s="17"/>
      <c r="C195" s="18"/>
    </row>
    <row r="196" spans="1:3" ht="21" customHeight="1" x14ac:dyDescent="0.3">
      <c r="A196" s="15"/>
      <c r="B196" s="17"/>
      <c r="C196" s="18"/>
    </row>
    <row r="197" spans="1:3" ht="21" customHeight="1" x14ac:dyDescent="0.3">
      <c r="A197" s="15"/>
      <c r="B197" s="17"/>
      <c r="C197" s="18"/>
    </row>
    <row r="198" spans="1:3" ht="21" customHeight="1" x14ac:dyDescent="0.3">
      <c r="A198" s="15"/>
      <c r="B198" s="17"/>
      <c r="C198" s="18"/>
    </row>
    <row r="199" spans="1:3" ht="21" customHeight="1" x14ac:dyDescent="0.3">
      <c r="A199" s="15"/>
      <c r="B199" s="17"/>
      <c r="C199" s="18"/>
    </row>
    <row r="200" spans="1:3" ht="21" customHeight="1" x14ac:dyDescent="0.3">
      <c r="A200" s="15"/>
      <c r="B200" s="17"/>
      <c r="C200" s="18"/>
    </row>
    <row r="201" spans="1:3" ht="21" customHeight="1" x14ac:dyDescent="0.3">
      <c r="A201" s="15"/>
      <c r="B201" s="17"/>
      <c r="C201" s="18"/>
    </row>
    <row r="202" spans="1:3" ht="21" customHeight="1" x14ac:dyDescent="0.3">
      <c r="A202" s="15"/>
      <c r="B202" s="17"/>
      <c r="C202" s="18"/>
    </row>
    <row r="203" spans="1:3" ht="21" customHeight="1" x14ac:dyDescent="0.3">
      <c r="A203" s="15"/>
      <c r="B203" s="17"/>
      <c r="C203" s="18"/>
    </row>
    <row r="204" spans="1:3" ht="21" customHeight="1" x14ac:dyDescent="0.3">
      <c r="A204" s="15"/>
      <c r="B204" s="17"/>
      <c r="C204" s="18"/>
    </row>
    <row r="205" spans="1:3" ht="21" customHeight="1" x14ac:dyDescent="0.3">
      <c r="A205" s="15"/>
      <c r="B205" s="17"/>
      <c r="C205" s="18"/>
    </row>
    <row r="206" spans="1:3" ht="21" customHeight="1" x14ac:dyDescent="0.3">
      <c r="A206" s="15"/>
      <c r="B206" s="17"/>
      <c r="C206" s="18"/>
    </row>
    <row r="207" spans="1:3" ht="21" customHeight="1" x14ac:dyDescent="0.3">
      <c r="A207" s="15"/>
      <c r="B207" s="17"/>
      <c r="C207" s="18"/>
    </row>
    <row r="208" spans="1:3" ht="21" customHeight="1" x14ac:dyDescent="0.3">
      <c r="A208" s="15"/>
      <c r="B208" s="17"/>
      <c r="C208" s="18"/>
    </row>
    <row r="209" spans="1:3" ht="21" customHeight="1" x14ac:dyDescent="0.3">
      <c r="A209" s="15"/>
      <c r="B209" s="17"/>
      <c r="C209" s="18"/>
    </row>
    <row r="210" spans="1:3" ht="21" customHeight="1" x14ac:dyDescent="0.3">
      <c r="A210" s="15"/>
      <c r="B210" s="17"/>
      <c r="C210" s="18"/>
    </row>
    <row r="211" spans="1:3" ht="21" customHeight="1" x14ac:dyDescent="0.3">
      <c r="A211" s="15"/>
      <c r="B211" s="17"/>
      <c r="C211" s="18"/>
    </row>
    <row r="212" spans="1:3" ht="21" customHeight="1" x14ac:dyDescent="0.3">
      <c r="A212" s="15"/>
      <c r="B212" s="17"/>
      <c r="C212" s="18"/>
    </row>
    <row r="213" spans="1:3" ht="21" customHeight="1" x14ac:dyDescent="0.3">
      <c r="A213" s="15"/>
      <c r="B213" s="17"/>
      <c r="C213" s="18"/>
    </row>
    <row r="214" spans="1:3" ht="21" customHeight="1" x14ac:dyDescent="0.3">
      <c r="A214" s="15"/>
      <c r="B214" s="17"/>
      <c r="C214" s="18"/>
    </row>
    <row r="215" spans="1:3" ht="21" customHeight="1" x14ac:dyDescent="0.3">
      <c r="A215" s="15"/>
      <c r="B215" s="17"/>
      <c r="C215" s="18"/>
    </row>
    <row r="216" spans="1:3" ht="21" customHeight="1" x14ac:dyDescent="0.3">
      <c r="A216" s="15"/>
      <c r="B216" s="17"/>
      <c r="C216" s="18"/>
    </row>
    <row r="217" spans="1:3" ht="21" customHeight="1" x14ac:dyDescent="0.3">
      <c r="A217" s="15"/>
      <c r="B217" s="17"/>
      <c r="C217" s="18"/>
    </row>
    <row r="218" spans="1:3" ht="21" customHeight="1" x14ac:dyDescent="0.3">
      <c r="A218" s="15"/>
      <c r="B218" s="17"/>
      <c r="C218" s="18"/>
    </row>
    <row r="219" spans="1:3" ht="21" customHeight="1" x14ac:dyDescent="0.3">
      <c r="A219" s="15"/>
      <c r="B219" s="17"/>
      <c r="C219" s="18"/>
    </row>
    <row r="220" spans="1:3" ht="21" customHeight="1" x14ac:dyDescent="0.3">
      <c r="A220" s="15"/>
      <c r="B220" s="17"/>
      <c r="C220" s="18"/>
    </row>
    <row r="221" spans="1:3" ht="21" customHeight="1" x14ac:dyDescent="0.3">
      <c r="A221" s="15"/>
      <c r="B221" s="17"/>
      <c r="C221" s="18"/>
    </row>
    <row r="222" spans="1:3" ht="21" customHeight="1" x14ac:dyDescent="0.3">
      <c r="A222" s="15"/>
      <c r="B222" s="17"/>
      <c r="C222" s="18"/>
    </row>
    <row r="223" spans="1:3" ht="21" customHeight="1" x14ac:dyDescent="0.3">
      <c r="A223" s="15"/>
      <c r="B223" s="17"/>
      <c r="C223" s="18"/>
    </row>
    <row r="224" spans="1:3" ht="21" customHeight="1" x14ac:dyDescent="0.3">
      <c r="A224" s="15"/>
      <c r="B224" s="17"/>
      <c r="C224" s="18"/>
    </row>
    <row r="225" spans="1:3" ht="21" customHeight="1" x14ac:dyDescent="0.3">
      <c r="A225" s="15"/>
      <c r="B225" s="17"/>
      <c r="C225" s="18"/>
    </row>
    <row r="226" spans="1:3" ht="21" customHeight="1" x14ac:dyDescent="0.3">
      <c r="A226" s="15"/>
      <c r="B226" s="17"/>
      <c r="C226" s="18"/>
    </row>
    <row r="227" spans="1:3" ht="21" customHeight="1" x14ac:dyDescent="0.3">
      <c r="A227" s="15"/>
      <c r="B227" s="17"/>
      <c r="C227" s="18"/>
    </row>
    <row r="228" spans="1:3" ht="21" customHeight="1" x14ac:dyDescent="0.3">
      <c r="A228" s="15"/>
      <c r="B228" s="17"/>
      <c r="C228" s="18"/>
    </row>
    <row r="229" spans="1:3" ht="21" customHeight="1" x14ac:dyDescent="0.3">
      <c r="A229" s="15"/>
      <c r="B229" s="17"/>
      <c r="C229" s="18"/>
    </row>
    <row r="230" spans="1:3" ht="21" customHeight="1" x14ac:dyDescent="0.3">
      <c r="A230" s="15"/>
      <c r="B230" s="17"/>
      <c r="C230" s="18"/>
    </row>
    <row r="231" spans="1:3" ht="15.75" customHeight="1" x14ac:dyDescent="0.25"/>
    <row r="232" spans="1:3" ht="15.75" customHeight="1" x14ac:dyDescent="0.25"/>
    <row r="233" spans="1:3" ht="15.75" customHeight="1" x14ac:dyDescent="0.25"/>
    <row r="234" spans="1:3" ht="15.75" customHeight="1" x14ac:dyDescent="0.25"/>
    <row r="235" spans="1:3" ht="15.75" customHeight="1" x14ac:dyDescent="0.25"/>
    <row r="236" spans="1:3" ht="15.75" customHeight="1" x14ac:dyDescent="0.25"/>
    <row r="237" spans="1:3" ht="15.75" customHeight="1" x14ac:dyDescent="0.25"/>
    <row r="238" spans="1:3" ht="15.75" customHeight="1" x14ac:dyDescent="0.25"/>
    <row r="239" spans="1:3" ht="15.75" customHeight="1" x14ac:dyDescent="0.25"/>
    <row r="240" spans="1:3"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selected papers</vt:lpstr>
      <vt:lpstr>dropped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Mason Ma</cp:lastModifiedBy>
  <dcterms:modified xsi:type="dcterms:W3CDTF">2026-09-18T15:06:53Z</dcterms:modified>
</cp:coreProperties>
</file>